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ables/table15.xml" ContentType="application/vnd.openxmlformats-officedocument.spreadsheetml.table+xml"/>
  <Override PartName="/xl/worksheets/sheet21.xml" ContentType="application/vnd.openxmlformats-officedocument.spreadsheetml.worksheet+xml"/>
  <Override PartName="/xl/tables/table16.xml" ContentType="application/vnd.openxmlformats-officedocument.spreadsheetml.table+xml"/>
  <Override PartName="/xl/worksheets/sheet22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328330596846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197d0976a4ed4186"/>
    <x:sheet xmlns:r="http://schemas.openxmlformats.org/officeDocument/2006/relationships" name="建筑家族" sheetId="2" r:id="Rabbb11d9703149da"/>
    <x:sheet xmlns:r="http://schemas.openxmlformats.org/officeDocument/2006/relationships" name="放置消耗" sheetId="3" r:id="R685b9d7780f44813"/>
    <x:sheet xmlns:r="http://schemas.openxmlformats.org/officeDocument/2006/relationships" name="施工消耗" sheetId="4" r:id="Rd8c9ef64b63940ea"/>
    <x:sheet xmlns:r="http://schemas.openxmlformats.org/officeDocument/2006/relationships" name="运营等级" sheetId="5" r:id="Rd64c9e0b470645f3"/>
    <x:sheet xmlns:r="http://schemas.openxmlformats.org/officeDocument/2006/relationships" name="升级消耗" sheetId="6" r:id="R073c750821ad4fc6"/>
    <x:sheet xmlns:r="http://schemas.openxmlformats.org/officeDocument/2006/relationships" name="等级_固定人口" sheetId="7" r:id="Rb2c3eafaaae74662"/>
    <x:sheet xmlns:r="http://schemas.openxmlformats.org/officeDocument/2006/relationships" name="等级_库存容量" sheetId="8" r:id="Rff0e2b68e2214e35"/>
    <x:sheet xmlns:r="http://schemas.openxmlformats.org/officeDocument/2006/relationships" name="等级_科技点" sheetId="9" r:id="R798eb83a24c24133"/>
    <x:sheet xmlns:r="http://schemas.openxmlformats.org/officeDocument/2006/relationships" name="等级_住宅" sheetId="10" r:id="R15f16088b22f4dbe"/>
    <x:sheet xmlns:r="http://schemas.openxmlformats.org/officeDocument/2006/relationships" name="等级_岗位" sheetId="11" r:id="R7554ff73eee94b1b"/>
    <x:sheet xmlns:r="http://schemas.openxmlformats.org/officeDocument/2006/relationships" name="等级_生产" sheetId="12" r:id="R1e2fcb9344794074"/>
    <x:sheet xmlns:r="http://schemas.openxmlformats.org/officeDocument/2006/relationships" name="等级_捕鱼稀有" sheetId="13" r:id="Rbace7502330046ca"/>
    <x:sheet xmlns:r="http://schemas.openxmlformats.org/officeDocument/2006/relationships" name="模块_市场" sheetId="14" r:id="R51eee32654854599"/>
    <x:sheet xmlns:r="http://schemas.openxmlformats.org/officeDocument/2006/relationships" name="模块_树木" sheetId="15" r:id="Ra30d8df8a8764792"/>
    <x:sheet xmlns:r="http://schemas.openxmlformats.org/officeDocument/2006/relationships" name="模块_作物" sheetId="16" r:id="R431966c3d6324b21"/>
    <x:sheet xmlns:r="http://schemas.openxmlformats.org/officeDocument/2006/relationships" name="作物_种植消耗" sheetId="17" r:id="R93866694ad824282"/>
    <x:sheet xmlns:r="http://schemas.openxmlformats.org/officeDocument/2006/relationships" name="作物_收获产出" sheetId="18" r:id="R71dda69e163b4e67"/>
    <x:sheet xmlns:r="http://schemas.openxmlformats.org/officeDocument/2006/relationships" name="作物_自动收获" sheetId="19" r:id="Rb8aebc210ec041ae"/>
    <x:sheet xmlns:r="http://schemas.openxmlformats.org/officeDocument/2006/relationships" name="视觉样式" sheetId="20" r:id="R1e493ee0a63a402c"/>
    <x:sheet xmlns:r="http://schemas.openxmlformats.org/officeDocument/2006/relationships" name="数据字典" sheetId="21" r:id="R14a213a2744849a0"/>
    <x:sheet xmlns:r="http://schemas.openxmlformats.org/officeDocument/2006/relationships" name="汇总检查" sheetId="22" r:id="R6203168e195545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"/>
    <x:numFmt numFmtId="202" formatCode="0.0%"/>
    <x:numFmt numFmtId="203" formatCode="0.000"/>
    <x:numFmt numFmtId="204" formatCode="0.0"/>
  </x:numFmts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203864"/>
      <x:name val="Carlito"/>
    </x:font>
    <x:font>
      <x:b/>
      <x:sz val="11"/>
      <x:color rgb="FF4472C4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E2F0D9"/>
      </x:patternFill>
    </x:fill>
    <x:fill>
      <x:patternFill patternType="solid">
        <x:fgColor rgb="FF2F75B5"/>
      </x:patternFill>
    </x:fill>
    <x:fill>
      <x:patternFill patternType="solid">
        <x:fgColor rgb="FFDDEBF7"/>
      </x:patternFill>
    </x:fill>
    <x:fill>
      <x:patternFill patternType="solid">
        <x:fgColor rgb="FF4472C4"/>
      </x:patternFill>
    </x:fill>
    <x:fill>
      <x:patternFill patternType="solid">
        <x:fgColor rgb="FFF7F9FC"/>
      </x:patternFill>
    </x:fill>
    <x:fill>
      <x:patternFill patternType="solid">
        <x:fgColor rgb="FFFFF2CC"/>
      </x:patternFill>
    </x:fill>
  </x:fills>
  <x:borders count="15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203864"/>
      </x:left>
      <x:top style="thin">
        <x:color rgb="FF203864"/>
      </x:top>
      <x:bottom style="thin">
        <x:color rgb="FF203864"/>
      </x:bottom>
    </x:border>
    <x:border>
      <x:top style="thin">
        <x:color rgb="FF203864"/>
      </x:top>
      <x:bottom style="thin">
        <x:color rgb="FF203864"/>
      </x:bottom>
    </x:border>
    <x:border>
      <x:right style="thin">
        <x:color rgb="FF203864"/>
      </x:right>
      <x:top style="thin">
        <x:color rgb="FF203864"/>
      </x:top>
      <x:bottom style="thin">
        <x:color rgb="FF203864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2" xfId="0" applyNumberFormat="1" applyFont="1" applyFill="1" applyBorder="1"/>
    <x:xf numFmtId="0" fontId="4" fillId="7" borderId="3" xfId="0" applyNumberFormat="1" applyFont="1" applyFill="1" applyBorder="1"/>
    <x:xf numFmtId="0" fontId="4" fillId="7" borderId="4" xfId="0" applyNumberFormat="1" applyFont="1" applyFill="1" applyBorder="1"/>
    <x:xf numFmtId="0" fontId="4" fillId="7" borderId="5" xfId="0" applyNumberFormat="1" applyFont="1" applyFill="1" applyBorder="1"/>
    <x:xf numFmtId="0" fontId="4" fillId="7" borderId="6" xfId="0" applyNumberFormat="1" applyFont="1" applyFill="1" applyBorder="1"/>
    <x:xf numFmtId="0" fontId="4" fillId="7" borderId="7" xfId="0" applyNumberFormat="1" applyFont="1" applyFill="1" applyBorder="1"/>
    <x:xf numFmtId="0" fontId="4" fillId="7" borderId="8" xfId="0" applyNumberFormat="1" applyFont="1" applyFill="1" applyBorder="1"/>
    <x:xf numFmtId="0" fontId="4" fillId="7" borderId="9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wrapText="1"/>
    </x:xf>
    <x:xf numFmtId="0" fontId="4" fillId="7" borderId="3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wrapText="1"/>
    </x:xf>
    <x:xf numFmtId="0" fontId="4" fillId="7" borderId="5" xfId="0" applyNumberFormat="1" applyFont="1" applyFill="1" applyBorder="1" applyAlignment="1">
      <x:alignment wrapText="1"/>
    </x:xf>
    <x:xf numFmtId="0" fontId="4" fillId="7" borderId="6" xfId="0" applyNumberFormat="1" applyFont="1" applyFill="1" applyBorder="1" applyAlignment="1">
      <x:alignment wrapText="1"/>
    </x:xf>
    <x:xf numFmtId="0" fontId="4" fillId="7" borderId="7" xfId="0" applyNumberFormat="1" applyFont="1" applyFill="1" applyBorder="1" applyAlignment="1">
      <x:alignment wrapText="1"/>
    </x:xf>
    <x:xf numFmtId="0" fontId="4" fillId="7" borderId="8" xfId="0" applyNumberFormat="1" applyFont="1" applyFill="1" applyBorder="1" applyAlignment="1">
      <x:alignment wrapText="1"/>
    </x:xf>
    <x:xf numFmtId="0" fontId="4" fillId="7" borderId="9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7" borderId="3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4" fillId="7" borderId="5" xfId="0" applyNumberFormat="1" applyFont="1" applyFill="1" applyBorder="1" applyAlignment="1">
      <x:alignment vertical="center" wrapText="1"/>
    </x:xf>
    <x:xf numFmtId="0" fontId="4" fillId="7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4" fillId="7" borderId="8" xfId="0" applyNumberFormat="1" applyFont="1" applyFill="1" applyBorder="1" applyAlignment="1">
      <x:alignment vertical="center" wrapText="1"/>
    </x:xf>
    <x:xf numFmtId="0" fontId="4" fillId="7" borderId="9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3" fillId="6" borderId="10" xfId="0" applyNumberFormat="1" applyFont="1" applyFill="1" applyBorder="1"/>
    <x:xf numFmtId="0" fontId="3" fillId="6" borderId="11" xfId="0" applyNumberFormat="1" applyFont="1" applyFill="1" applyBorder="1"/>
    <x:xf numFmtId="0" fontId="3" fillId="6" borderId="12" xfId="0" applyNumberFormat="1" applyFont="1" applyFill="1" applyBorder="1"/>
    <x:xf numFmtId="0" fontId="3" fillId="6" borderId="10" xfId="0" applyNumberFormat="1" applyFont="1" applyFill="1" applyBorder="1" applyAlignment="1">
      <x:alignment wrapText="1"/>
    </x:xf>
    <x:xf numFmtId="0" fontId="3" fillId="6" borderId="11" xfId="0" applyNumberFormat="1" applyFont="1" applyFill="1" applyBorder="1" applyAlignment="1">
      <x:alignment wrapText="1"/>
    </x:xf>
    <x:xf numFmtId="0" fontId="3" fillId="6" borderId="12" xfId="0" applyNumberFormat="1" applyFont="1" applyFill="1" applyBorder="1" applyAlignment="1">
      <x:alignment wrapText="1"/>
    </x:xf>
    <x:xf numFmtId="0" fontId="3" fillId="6" borderId="10" xfId="0" applyNumberFormat="1" applyFont="1" applyFill="1" applyBorder="1" applyAlignment="1">
      <x:alignment vertical="center" wrapText="1"/>
    </x:xf>
    <x:xf numFmtId="0" fontId="3" fillId="6" borderId="11" xfId="0" applyNumberFormat="1" applyFont="1" applyFill="1" applyBorder="1" applyAlignment="1">
      <x:alignment vertical="center" wrapText="1"/>
    </x:xf>
    <x:xf numFmtId="0" fontId="3" fillId="6" borderId="12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13" xfId="0" applyNumberFormat="1" applyFont="1" applyFill="1" applyBorder="1"/>
    <x:xf numFmtId="0" fontId="4" fillId="8" borderId="14" xfId="0" applyNumberFormat="1" applyFont="1" applyFill="1" applyBorder="1"/>
    <x:xf numFmtId="0" fontId="4" fillId="8" borderId="13" xfId="0" applyNumberFormat="1" applyFont="1" applyFill="1" applyBorder="1" applyAlignment="1">
      <x:alignment vertical="center"/>
    </x:xf>
    <x:xf numFmtId="0" fontId="4" fillId="8" borderId="14" xfId="0" applyNumberFormat="1" applyFont="1" applyFill="1" applyBorder="1" applyAlignment="1">
      <x:alignment vertical="center"/>
    </x:xf>
    <x:xf numFmtId="200" fontId="4" fillId="8" borderId="13" xfId="0" applyNumberFormat="1" applyFont="1" applyFill="1" applyBorder="1" applyAlignment="1">
      <x:alignment vertical="center"/>
    </x:xf>
    <x:xf numFmtId="200" fontId="4" fillId="8" borderId="14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4" fillId="5" borderId="13" xfId="0" applyNumberFormat="1" applyFont="1" applyFill="1" applyBorder="1" applyAlignment="1">
      <x:alignment vertical="center"/>
    </x:xf>
    <x:xf numFmtId="0" fontId="4" fillId="5" borderId="14" xfId="0" applyNumberFormat="1" applyFont="1" applyFill="1" applyBorder="1" applyAlignment="1">
      <x:alignment vertical="center"/>
    </x:xf>
    <x:xf numFmtId="200" fontId="4" fillId="5" borderId="13" xfId="0" applyNumberFormat="1" applyFont="1" applyFill="1" applyBorder="1" applyAlignment="1">
      <x:alignment vertical="center"/>
    </x:xf>
    <x:xf numFmtId="200" fontId="4" fillId="5" borderId="14" xfId="0" applyNumberFormat="1" applyFont="1" applyFill="1" applyBorder="1" applyAlignment="1">
      <x:alignment vertical="center"/>
    </x:xf>
    <x:xf numFmtId="201" fontId="4" fillId="5" borderId="13" xfId="0" applyNumberFormat="1" applyFont="1" applyFill="1" applyBorder="1" applyAlignment="1">
      <x:alignment vertical="center"/>
    </x:xf>
    <x:xf numFmtId="201" fontId="4" fillId="5" borderId="14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4" fillId="8" borderId="13" xfId="0" applyNumberFormat="1" applyFont="1" applyFill="1" applyBorder="1" applyAlignment="1">
      <x:alignment vertical="center"/>
    </x:xf>
    <x:xf numFmtId="201" fontId="4" fillId="8" borderId="14" xfId="0" applyNumberFormat="1" applyFont="1" applyFill="1" applyBorder="1" applyAlignment="1">
      <x:alignment vertical="center"/>
    </x:xf>
    <x:xf numFmtId="202" fontId="4" fillId="5" borderId="13" xfId="0" applyNumberFormat="1" applyFont="1" applyFill="1" applyBorder="1" applyAlignment="1">
      <x:alignment vertical="center"/>
    </x:xf>
    <x:xf numFmtId="203" fontId="4" fillId="8" borderId="13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4" fontId="4" fillId="5" borderId="13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2abb4e957549f4" /><Relationship Type="http://schemas.openxmlformats.org/officeDocument/2006/relationships/theme" Target="/xl/theme/theme1.xml" Id="R2a0d1807bff3479c" /><Relationship Type="http://schemas.openxmlformats.org/officeDocument/2006/relationships/sharedStrings" Target="/xl/sharedStrings.xml" Id="R64a9a99ae78e4e41" /><Relationship Type="http://schemas.openxmlformats.org/officeDocument/2006/relationships/worksheet" Target="/xl/worksheets/sheet1.xml" Id="R197d0976a4ed4186" /><Relationship Type="http://schemas.openxmlformats.org/officeDocument/2006/relationships/worksheet" Target="/xl/worksheets/sheet2.xml" Id="Rabbb11d9703149da" /><Relationship Type="http://schemas.openxmlformats.org/officeDocument/2006/relationships/worksheet" Target="/xl/worksheets/sheet3.xml" Id="R685b9d7780f44813" /><Relationship Type="http://schemas.openxmlformats.org/officeDocument/2006/relationships/worksheet" Target="/xl/worksheets/sheet4.xml" Id="Rd8c9ef64b63940ea" /><Relationship Type="http://schemas.openxmlformats.org/officeDocument/2006/relationships/worksheet" Target="/xl/worksheets/sheet5.xml" Id="Rd64c9e0b470645f3" /><Relationship Type="http://schemas.openxmlformats.org/officeDocument/2006/relationships/worksheet" Target="/xl/worksheets/sheet6.xml" Id="R073c750821ad4fc6" /><Relationship Type="http://schemas.openxmlformats.org/officeDocument/2006/relationships/worksheet" Target="/xl/worksheets/sheet7.xml" Id="Rb2c3eafaaae74662" /><Relationship Type="http://schemas.openxmlformats.org/officeDocument/2006/relationships/worksheet" Target="/xl/worksheets/sheet8.xml" Id="Rff0e2b68e2214e35" /><Relationship Type="http://schemas.openxmlformats.org/officeDocument/2006/relationships/worksheet" Target="/xl/worksheets/sheet9.xml" Id="R798eb83a24c24133" /><Relationship Type="http://schemas.openxmlformats.org/officeDocument/2006/relationships/worksheet" Target="/xl/worksheets/sheet10.xml" Id="R15f16088b22f4dbe" /><Relationship Type="http://schemas.openxmlformats.org/officeDocument/2006/relationships/worksheet" Target="/xl/worksheets/sheet11.xml" Id="R7554ff73eee94b1b" /><Relationship Type="http://schemas.openxmlformats.org/officeDocument/2006/relationships/worksheet" Target="/xl/worksheets/sheet12.xml" Id="R1e2fcb9344794074" /><Relationship Type="http://schemas.openxmlformats.org/officeDocument/2006/relationships/worksheet" Target="/xl/worksheets/sheet13.xml" Id="Rbace7502330046ca" /><Relationship Type="http://schemas.openxmlformats.org/officeDocument/2006/relationships/worksheet" Target="/xl/worksheets/sheet14.xml" Id="R51eee32654854599" /><Relationship Type="http://schemas.openxmlformats.org/officeDocument/2006/relationships/worksheet" Target="/xl/worksheets/sheet15.xml" Id="Ra30d8df8a8764792" /><Relationship Type="http://schemas.openxmlformats.org/officeDocument/2006/relationships/worksheet" Target="/xl/worksheets/sheet16.xml" Id="R431966c3d6324b21" /><Relationship Type="http://schemas.openxmlformats.org/officeDocument/2006/relationships/worksheet" Target="/xl/worksheets/sheet17.xml" Id="R93866694ad824282" /><Relationship Type="http://schemas.openxmlformats.org/officeDocument/2006/relationships/worksheet" Target="/xl/worksheets/sheet18.xml" Id="R71dda69e163b4e67" /><Relationship Type="http://schemas.openxmlformats.org/officeDocument/2006/relationships/worksheet" Target="/xl/worksheets/sheet19.xml" Id="Rb8aebc210ec041ae" /><Relationship Type="http://schemas.openxmlformats.org/officeDocument/2006/relationships/worksheet" Target="/xl/worksheets/sheet20.xml" Id="R1e493ee0a63a402c" /><Relationship Type="http://schemas.openxmlformats.org/officeDocument/2006/relationships/worksheet" Target="/xl/worksheets/sheet21.xml" Id="R14a213a2744849a0" /><Relationship Type="http://schemas.openxmlformats.org/officeDocument/2006/relationships/worksheet" Target="/xl/worksheets/sheet22.xml" Id="R6203168e19554552" /></Relationships>
</file>

<file path=xl/tables/table1.xml><?xml version="1.0" encoding="utf-8"?>
<x:table xmlns:x="http://schemas.openxmlformats.org/spreadsheetml/2006/main" id="1" name="BuildingFamilies" displayName="BuildingFamilies" ref="A4:S12" headerRowCount="1" totalsRowCount="0" totalsRowShown="0">
  <x:autoFilter ref="A4:S12"/>
  <x:tableColumns count="19">
    <x:tableColumn id="1" name="FamilyId"/>
    <x:tableColumn id="2" name="名称"/>
    <x:tableColumn id="3" name="分类"/>
    <x:tableColumn id="4" name="SizeX"/>
    <x:tableColumn id="5" name="SizeY"/>
    <x:tableColumn id="6" name="忽略地形"/>
    <x:tableColumn id="7" name="地形Keys"/>
    <x:tableColumn id="8" name="移动阻力"/>
    <x:tableColumn id="9" name="施工回合"/>
    <x:tableColumn id="10" name="数量上限"/>
    <x:tableColumn id="11" name="数量限制分组ID"/>
    <x:tableColumn id="12" name="蓝图初始锁定"/>
    <x:tableColumn id="13" name="锁定时隐藏"/>
    <x:tableColumn id="14" name="菜单排序"/>
    <x:tableColumn id="15" name="开发完成"/>
    <x:tableColumn id="16" name="资源提供点"/>
    <x:tableColumn id="17" name="资源提供优先级"/>
    <x:tableColumn id="18" name="行动力预算"/>
    <x:tableColumn id="19" name="说明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PlacementCosts" displayName="PlacementCosts" ref="A4:D9" headerRowCount="1" totalsRowCount="0" totalsRowShown="0">
  <x:autoFilter ref="A4:D9"/>
  <x:tableColumns count="4">
    <x:tableColumn id="1" name="FamilyId"/>
    <x:tableColumn id="2" name="ItemId"/>
    <x:tableColumn id="3" name="数量"/>
    <x:tableColumn id="4" name="说明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ConstructionCosts" displayName="ConstructionCosts" ref="A4:E7" headerRowCount="1" totalsRowCount="0" totalsRowShown="0">
  <x:autoFilter ref="A4:E7"/>
  <x:tableColumns count="5">
    <x:tableColumn id="1" name="FamilyId"/>
    <x:tableColumn id="2" name="回合序号"/>
    <x:tableColumn id="3" name="ItemId"/>
    <x:tableColumn id="4" name="数量"/>
    <x:tableColumn id="5" name="说明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OperationalLevels" displayName="OperationalLevels" ref="A4:E20" headerRowCount="1" totalsRowCount="0" totalsRowShown="0">
  <x:autoFilter ref="A4:E20"/>
  <x:tableColumns count="5">
    <x:tableColumn id="1" name="FamilyId"/>
    <x:tableColumn id="2" name="Level"/>
    <x:tableColumn id="3" name="开放"/>
    <x:tableColumn id="4" name="ConditionId"/>
    <x:tableColumn id="5" name="说明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UpgradeCosts" displayName="UpgradeCosts" ref="A4:E5" headerRowCount="1" totalsRowCount="0" totalsRowShown="0">
  <x:autoFilter ref="A4:E5"/>
  <x:tableColumns count="5">
    <x:tableColumn id="1" name="FamilyId"/>
    <x:tableColumn id="2" name="目标Level"/>
    <x:tableColumn id="3" name="ItemId"/>
    <x:tableColumn id="4" name="数量"/>
    <x:tableColumn id="5" name="说明"/>
  </x:tableColumns>
  <x:tableStyleInfo name="TableStyleMedium2" showFirstColumn="0" showLastColumn="0" showRowStripes="0" showColumnStripes="0"/>
</x:table>
</file>

<file path=xl/tables/table6.xml><?xml version="1.0" encoding="utf-8"?>
<x:table xmlns:x="http://schemas.openxmlformats.org/spreadsheetml/2006/main" id="6" name="FixedPopulationLevels" displayName="FixedPopulationLevels" ref="A4:D8" headerRowCount="1" totalsRowCount="0" totalsRowShown="0">
  <x:autoFilter ref="A4:D8"/>
  <x:tableColumns count="4">
    <x:tableColumn id="1" name="FamilyId"/>
    <x:tableColumn id="2" name="Level"/>
    <x:tableColumn id="3" name="提供人口"/>
    <x:tableColumn id="4" name="校验"/>
  </x:tableColumns>
  <x:tableStyleInfo name="TableStyleMedium2" showFirstColumn="0" showLastColumn="0" showRowStripes="0" showColumnStripes="0"/>
</x:table>
</file>

<file path=xl/tables/table7.xml><?xml version="1.0" encoding="utf-8"?>
<x:table xmlns:x="http://schemas.openxmlformats.org/spreadsheetml/2006/main" id="7" name="InventoryCapacityLevels" displayName="InventoryCapacityLevels" ref="A4:D8" headerRowCount="1" totalsRowCount="0" totalsRowShown="0">
  <x:autoFilter ref="A4:D8"/>
  <x:tableColumns count="4">
    <x:tableColumn id="1" name="FamilyId"/>
    <x:tableColumn id="2" name="Level"/>
    <x:tableColumn id="3" name="提供库存格"/>
    <x:tableColumn id="4" name="校验"/>
  </x:tableColumns>
  <x:tableStyleInfo name="TableStyleMedium2" showFirstColumn="0" showLastColumn="0" showRowStripes="0" showColumnStripes="0"/>
</x:table>
</file>

<file path=xl/tables/table8.xml><?xml version="1.0" encoding="utf-8"?>
<x:table xmlns:x="http://schemas.openxmlformats.org/spreadsheetml/2006/main" id="8" name="TechnologyPointLevels" displayName="TechnologyPointLevels" ref="A4:D8" headerRowCount="1" totalsRowCount="0" totalsRowShown="0">
  <x:autoFilter ref="A4:D8"/>
  <x:tableColumns count="4">
    <x:tableColumn id="1" name="FamilyId"/>
    <x:tableColumn id="2" name="Level"/>
    <x:tableColumn id="3" name="科技点/回合"/>
    <x:tableColumn id="4" name="校验"/>
  </x:tableColumns>
  <x:tableStyleInfo name="TableStyleMedium2" showFirstColumn="0" showLastColumn="0" showRowStripes="0" showColumnStripes="0"/>
</x:table>
</file>

<file path=xl/tables/table9.xml><?xml version="1.0" encoding="utf-8"?>
<x:table xmlns:x="http://schemas.openxmlformats.org/spreadsheetml/2006/main" id="9" name="ResidentialLevels" displayName="ResidentialLevels" ref="A4:K8" headerRowCount="1" totalsRowCount="0" totalsRowShown="0">
  <x:autoFilter ref="A4:K8"/>
  <x:tableColumns count="11">
    <x:tableColumn id="1" name="FamilyId"/>
    <x:tableColumn id="2" name="Level"/>
    <x:tableColumn id="3" name="初始人口"/>
    <x:tableColumn id="4" name="人口上限"/>
    <x:tableColumn id="5" name="FoodItemId"/>
    <x:tableColumn id="6" name="增长回合"/>
    <x:tableColumn id="7" name="失败衰减阈值"/>
    <x:tableColumn id="8" name="TaxItemId"/>
    <x:tableColumn id="9" name="税收回合"/>
    <x:tableColumn id="10" name="满人口食物/回合"/>
    <x:tableColumn id="11" name="校验"/>
  </x:tableColumns>
  <x:tableStyleInfo name="TableStyleMedium2" showFirstColumn="0" showLastColumn="0" showRowStripes="0" showColumnStripes="0"/>
</x:table>
</file>

<file path=xl/tables/table10.xml><?xml version="1.0" encoding="utf-8"?>
<x:table xmlns:x="http://schemas.openxmlformats.org/spreadsheetml/2006/main" id="10" name="WorkforceLevels" displayName="WorkforceLevels" ref="A4:J10" headerRowCount="1" totalsRowCount="0" totalsRowShown="0">
  <x:autoFilter ref="A4:J10"/>
  <x:tableColumns count="10">
    <x:tableColumn id="1" name="FamilyId"/>
    <x:tableColumn id="2" name="Level"/>
    <x:tableColumn id="3" name="最大工人"/>
    <x:tableColumn id="4" name="初始工人"/>
    <x:tableColumn id="5" name="基础吸引力"/>
    <x:tableColumn id="6" name="招工金币"/>
    <x:tableColumn id="7" name="自动补贴"/>
    <x:tableColumn id="8" name="稳定目标工人"/>
    <x:tableColumn id="9" name="GoldItemId"/>
    <x:tableColumn id="10" name="校验"/>
  </x:tableColumns>
  <x:tableStyleInfo name="TableStyleMedium2" showFirstColumn="0" showLastColumn="0" showRowStripes="0" showColumnStripes="0"/>
</x:table>
</file>

<file path=xl/tables/table11.xml><?xml version="1.0" encoding="utf-8"?>
<x:table xmlns:x="http://schemas.openxmlformats.org/spreadsheetml/2006/main" id="11" name="ProductionLevels" displayName="ProductionLevels" ref="A4:H13" headerRowCount="1" totalsRowCount="0" totalsRowShown="0">
  <x:autoFilter ref="A4:H13"/>
  <x:tableColumns count="8">
    <x:tableColumn id="1" name="FamilyId"/>
    <x:tableColumn id="2" name="Level"/>
    <x:tableColumn id="3" name="OutputItemId"/>
    <x:tableColumn id="4" name="工人阈值"/>
    <x:tableColumn id="5" name="产量/周期"/>
    <x:tableColumn id="6" name="周期回合"/>
    <x:tableColumn id="7" name="产量/回合"/>
    <x:tableColumn id="8" name="校验"/>
  </x:tableColumns>
  <x:tableStyleInfo name="TableStyleMedium2" showFirstColumn="0" showLastColumn="0" showRowStripes="0" showColumnStripes="0"/>
</x:table>
</file>

<file path=xl/tables/table12.xml><?xml version="1.0" encoding="utf-8"?>
<x:table xmlns:x="http://schemas.openxmlformats.org/spreadsheetml/2006/main" id="12" name="FishingRareLevels" displayName="FishingRareLevels" ref="A4:H6" headerRowCount="1" totalsRowCount="0" totalsRowShown="0">
  <x:autoFilter ref="A4:H6"/>
  <x:tableColumns count="8">
    <x:tableColumn id="1" name="FamilyId"/>
    <x:tableColumn id="2" name="Level"/>
    <x:tableColumn id="3" name="启用"/>
    <x:tableColumn id="4" name="ItemId"/>
    <x:tableColumn id="5" name="最低工人"/>
    <x:tableColumn id="6" name="概率%"/>
    <x:tableColumn id="7" name="数量"/>
    <x:tableColumn id="8" name="校验"/>
  </x:tableColumns>
  <x:tableStyleInfo name="TableStyleMedium2" showFirstColumn="0" showLastColumn="0" showRowStripes="0" showColumnStripes="0"/>
</x:table>
</file>

<file path=xl/tables/table13.xml><?xml version="1.0" encoding="utf-8"?>
<x:table xmlns:x="http://schemas.openxmlformats.org/spreadsheetml/2006/main" id="13" name="MarketModule" displayName="MarketModule" ref="A4:E5" headerRowCount="1" totalsRowCount="0" totalsRowShown="0">
  <x:autoFilter ref="A4:E5"/>
  <x:tableColumns count="5">
    <x:tableColumn id="1" name="FamilyId"/>
    <x:tableColumn id="2" name="GoldItemId"/>
    <x:tableColumn id="3" name="价值结算比例"/>
    <x:tableColumn id="4" name="显示比例"/>
    <x:tableColumn id="5" name="校验"/>
  </x:tableColumns>
  <x:tableStyleInfo name="TableStyleMedium2" showFirstColumn="0" showLastColumn="0" showRowStripes="0" showColumnStripes="0"/>
</x:table>
</file>

<file path=xl/tables/table14.xml><?xml version="1.0" encoding="utf-8"?>
<x:table xmlns:x="http://schemas.openxmlformats.org/spreadsheetml/2006/main" id="14" name="TreeModule" displayName="TreeModule" ref="A4:K5" headerRowCount="1" totalsRowCount="0" totalsRowShown="0">
  <x:autoFilter ref="A4:K5"/>
  <x:tableColumns count="11">
    <x:tableColumn id="1" name="FamilyId"/>
    <x:tableColumn id="2" name="最低生命"/>
    <x:tableColumn id="3" name="最高生命"/>
    <x:tableColumn id="4" name="双击伤害"/>
    <x:tableColumn id="5" name="WoodItemId"/>
    <x:tableColumn id="6" name="原木奖励"/>
    <x:tableColumn id="7" name="SaplingItemId"/>
    <x:tableColumn id="8" name="树苗奖励"/>
    <x:tableColumn id="9" name="平均生命"/>
    <x:tableColumn id="10" name="预计双击次数"/>
    <x:tableColumn id="11" name="校验"/>
  </x:tableColumns>
  <x:tableStyleInfo name="TableStyleMedium2" showFirstColumn="0" showLastColumn="0" showRowStripes="0" showColumnStripes="0"/>
</x:table>
</file>

<file path=xl/tables/table15.xml><?xml version="1.0" encoding="utf-8"?>
<x:table xmlns:x="http://schemas.openxmlformats.org/spreadsheetml/2006/main" id="15" name="VisualStyleChecklist" displayName="VisualStyleChecklist" ref="A4:F12" headerRowCount="1" totalsRowCount="0" totalsRowShown="0">
  <x:autoFilter ref="A4:F12"/>
  <x:tableColumns count="6">
    <x:tableColumn id="1" name="FamilyId"/>
    <x:tableColumn id="2" name="StyleId"/>
    <x:tableColumn id="3" name="菜单名称"/>
    <x:tableColumn id="4" name="IconAssetPath"/>
    <x:tableColumn id="5" name="LV1ViewAssetPath"/>
    <x:tableColumn id="6" name="回填状态"/>
  </x:tableColumns>
  <x:tableStyleInfo name="TableStyleMedium2" showFirstColumn="0" showLastColumn="0" showRowStripes="0" showColumnStripes="0"/>
</x:table>
</file>

<file path=xl/tables/table16.xml><?xml version="1.0" encoding="utf-8"?>
<x:table xmlns:x="http://schemas.openxmlformats.org/spreadsheetml/2006/main" id="16" name="ImportDictionary" displayName="ImportDictionary" ref="A4:E30" headerRowCount="1" totalsRowCount="0" totalsRowShown="0">
  <x:autoFilter ref="A4:E30"/>
  <x:tableColumns count="5">
    <x:tableColumn id="1" name="类型"/>
    <x:tableColumn id="2" name="稳定ID/名称"/>
    <x:tableColumn id="3" name="显示说明"/>
    <x:tableColumn id="4" name="Unity 解析目标"/>
    <x:tableColumn id="5" name="是否导入"/>
  </x:tableColumns>
  <x:tableStyleInfo name="TableStyleMedium2" showFirstColumn="0" showLastColumn="0" showRowStripes="0" showColumnStripes="0"/>
</x:table>
</file>

<file path=xl/tables/table17.xml><?xml version="1.0" encoding="utf-8"?>
<x:table xmlns:x="http://schemas.openxmlformats.org/spreadsheetml/2006/main" id="17" name="WorkbookSummary" displayName="WorkbookSummary" ref="A4:E9" headerRowCount="1" totalsRowCount="0" totalsRowShown="0">
  <x:autoFilter ref="A4:E9"/>
  <x:tableColumns count="5">
    <x:tableColumn id="1" name="检查项"/>
    <x:tableColumn id="2" name="当前值"/>
    <x:tableColumn id="3" name="基准/规则"/>
    <x:tableColumn id="4" name="状态"/>
    <x:tableColumn id="5" name="说明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b29f6c53b847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326d8128474c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b6191568f341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f2a3b3a1ea45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98a891640043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c36f5286ee4d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bfa8e5f52449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15513cc7e914fd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9d7068756164b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40b5dec848041b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40f6a93825e41c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de184eef9c7949f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ea837da04ea34d5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64578c4d6f5d44c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5.xml" Id="R2274113a98304c3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6.xml" Id="Re8418d5735ae4ebf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7.xml" Id="R4f3e326638bf46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建筑正式数值配置表</x:v>
      </x:c>
      <x:c r="B1" s="3"/>
      <x:c r="C1" s="3"/>
      <x:c r="D1" s="3"/>
      <x:c r="E1" s="3"/>
      <x:c r="F1" s="3"/>
      <x:c r="G1" s="3"/>
      <x:c r="H1" s="3"/>
    </x:row>
    <x:row r="2" ht="38" customHeight="1">
      <x:c r="A2" s="7" t="str">
        <x:v>黄色单元格是策划输入，蓝色单元格是公式/检查。Unity 导表器是最终校验权威；任一错误会阻止整次导入。</x:v>
      </x:c>
      <x:c r="B2" s="7"/>
      <x:c r="C2" s="7"/>
      <x:c r="D2" s="7"/>
      <x:c r="E2" s="7"/>
      <x:c r="F2" s="7"/>
      <x:c r="G2" s="7"/>
      <x:c r="H2" s="7"/>
    </x:row>
    <x:row r="3">
      <x:c r="A3" s="45"/>
      <x:c r="B3" s="45"/>
      <x:c r="C3" s="45"/>
      <x:c r="D3" s="45"/>
      <x:c r="E3" s="45"/>
      <x:c r="F3" s="45"/>
      <x:c r="G3" s="45"/>
      <x:c r="H3" s="45"/>
    </x:row>
    <x:row r="4">
      <x:c r="A4" s="46" t="str">
        <x:v>SchemaVersion</x:v>
      </x:c>
      <x:c r="B4" s="47" t="n">
        <x:v>2</x:v>
      </x:c>
      <x:c r="C4" s="45"/>
      <x:c r="D4" s="45"/>
      <x:c r="E4" s="45"/>
      <x:c r="F4" s="45"/>
      <x:c r="G4" s="45"/>
      <x:c r="H4" s="45"/>
    </x:row>
    <x:row r="5">
      <x:c r="A5" s="46" t="str">
        <x:v>正式源路径</x:v>
      </x:c>
      <x:c r="B5" s="47" t="str">
        <x:v>ConfigSource/Buildings/建筑数值策划表.xlsx（项目根目录，不进入 AssetDatabase）</x:v>
      </x:c>
      <x:c r="C5" s="45"/>
      <x:c r="D5" s="45"/>
      <x:c r="E5" s="45"/>
      <x:c r="F5" s="45"/>
      <x:c r="G5" s="45"/>
      <x:c r="H5" s="45"/>
    </x:row>
    <x:row r="6">
      <x:c r="A6" s="46" t="str">
        <x:v>当前家族数</x:v>
      </x:c>
      <x:c r="B6" s="47" t="n">
        <x:f>COUNTA('建筑家族'!A5:A24)</x:f>
        <x:v>8</x:v>
      </x:c>
      <x:c r="C6" s="45"/>
      <x:c r="D6" s="45"/>
      <x:c r="E6" s="45"/>
      <x:c r="F6" s="45"/>
      <x:c r="G6" s="45"/>
      <x:c r="H6" s="45"/>
    </x:row>
    <x:row r="7">
      <x:c r="A7" s="46" t="str">
        <x:v>当前运营等级数</x:v>
      </x:c>
      <x:c r="B7" s="47" t="n">
        <x:f>COUNTA('运营等级'!A5:A24)</x:f>
        <x:v>16</x:v>
      </x:c>
      <x:c r="C7" s="45"/>
      <x:c r="D7" s="45"/>
      <x:c r="E7" s="45"/>
      <x:c r="F7" s="45"/>
      <x:c r="G7" s="45"/>
      <x:c r="H7" s="45"/>
    </x:row>
    <x:row r="8">
      <x:c r="A8" s="46" t="str">
        <x:v>核心组合键</x:v>
      </x:c>
      <x:c r="B8" s="47" t="str">
        <x:v>FamilyId + Level；作物增加 CropId；视觉增加 StyleId</x:v>
      </x:c>
      <x:c r="C8" s="45"/>
      <x:c r="D8" s="45"/>
      <x:c r="E8" s="45"/>
      <x:c r="F8" s="45"/>
      <x:c r="G8" s="45"/>
      <x:c r="H8" s="45"/>
    </x:row>
    <x:row r="9">
      <x:c r="A9" s="45"/>
      <x:c r="B9" s="45"/>
      <x:c r="C9" s="45"/>
      <x:c r="D9" s="45"/>
      <x:c r="E9" s="45"/>
      <x:c r="F9" s="45"/>
      <x:c r="G9" s="45"/>
      <x:c r="H9" s="45"/>
    </x:row>
    <x:row r="10">
      <x:c r="A10" s="48" t="str">
        <x:v>数据权属</x:v>
      </x:c>
      <x:c r="B10" s="48"/>
      <x:c r="C10" s="48"/>
      <x:c r="D10" s="48"/>
      <x:c r="E10" s="48"/>
      <x:c r="F10" s="48"/>
      <x:c r="G10" s="48"/>
      <x:c r="H10" s="48"/>
    </x:row>
    <x:row r="11">
      <x:c r="A11" s="49" t="str">
        <x:v>Excel 导入</x:v>
      </x:c>
      <x:c r="B11" s="50" t="str">
        <x:v>建筑公共数值、放置/施工/升级消耗、运营等级、等级配置、市场/树木/作物模块默认值</x:v>
      </x:c>
      <x:c r="C11" s="50"/>
      <x:c r="D11" s="50"/>
      <x:c r="E11" s="50"/>
      <x:c r="F11" s="50"/>
      <x:c r="G11" s="50"/>
      <x:c r="H11" s="51"/>
    </x:row>
    <x:row r="12">
      <x:c r="A12" s="52" t="str">
        <x:v>Unity 维护</x:v>
      </x:c>
      <x:c r="B12" s="53" t="str">
        <x:v>Runtime Prefab 结构、ModuleSet 模块结构、Presentation、图标/View、显示条件与复杂非科技条件</x:v>
      </x:c>
      <x:c r="C12" s="53"/>
      <x:c r="D12" s="53"/>
      <x:c r="E12" s="53"/>
      <x:c r="F12" s="53"/>
      <x:c r="G12" s="53"/>
      <x:c r="H12" s="54"/>
    </x:row>
    <x:row r="13">
      <x:c r="A13" s="52" t="str">
        <x:v>Prefab 标量</x:v>
      </x:c>
      <x:c r="B13" s="53" t="str">
        <x:v>导表器只更新资源提供点、资源优先级、行动力预算三个数据字段，不添加/删除组件</x:v>
      </x:c>
      <x:c r="C13" s="53"/>
      <x:c r="D13" s="53"/>
      <x:c r="E13" s="53"/>
      <x:c r="F13" s="53"/>
      <x:c r="G13" s="53"/>
      <x:c r="H13" s="54"/>
    </x:row>
    <x:row r="14">
      <x:c r="A14" s="52" t="str">
        <x:v>ItemId</x:v>
      </x:c>
      <x:c r="B14" s="53" t="str">
        <x:v>Excel 使用 ItemId；导入器解析后写入真实 ItemDefinition 引用</x:v>
      </x:c>
      <x:c r="C14" s="53"/>
      <x:c r="D14" s="53"/>
      <x:c r="E14" s="53"/>
      <x:c r="F14" s="53"/>
      <x:c r="G14" s="53"/>
      <x:c r="H14" s="54"/>
    </x:row>
    <x:row r="15">
      <x:c r="A15" s="52" t="str">
        <x:v>条件</x:v>
      </x:c>
      <x:c r="B15" s="53" t="str">
        <x:v>升级条件支持 none、keep、technology.&lt;TechnologyId&gt;；显示条件继续在 Unity 维护</x:v>
      </x:c>
      <x:c r="C15" s="53"/>
      <x:c r="D15" s="53"/>
      <x:c r="E15" s="53"/>
      <x:c r="F15" s="53"/>
      <x:c r="G15" s="53"/>
      <x:c r="H15" s="54"/>
    </x:row>
    <x:row r="16">
      <x:c r="A16" s="55" t="str">
        <x:v>视觉样式</x:v>
      </x:c>
      <x:c r="B16" s="56" t="str">
        <x:v>视觉样式工作表仅作美术回填清单，不参与数值导入，不会清空已有表现资源</x:v>
      </x:c>
      <x:c r="C16" s="56"/>
      <x:c r="D16" s="56"/>
      <x:c r="E16" s="56"/>
      <x:c r="F16" s="56"/>
      <x:c r="G16" s="56"/>
      <x:c r="H16" s="57"/>
    </x:row>
    <x:row r="17">
      <x:c r="A17" s="45"/>
      <x:c r="B17" s="45"/>
      <x:c r="C17" s="45"/>
      <x:c r="D17" s="45"/>
      <x:c r="E17" s="45"/>
      <x:c r="F17" s="45"/>
      <x:c r="G17" s="45"/>
      <x:c r="H17" s="45"/>
    </x:row>
    <x:row r="18">
      <x:c r="A18" s="48" t="str">
        <x:v>策划流程</x:v>
      </x:c>
      <x:c r="B18" s="48"/>
      <x:c r="C18" s="48"/>
      <x:c r="D18" s="48"/>
      <x:c r="E18" s="48"/>
      <x:c r="F18" s="48"/>
      <x:c r="G18" s="48"/>
      <x:c r="H18" s="48"/>
    </x:row>
    <x:row r="19">
      <x:c r="A19" s="58" t="str">
        <x:v>1</x:v>
      </x:c>
      <x:c r="B19" s="59" t="str">
        <x:v>在对应专表修改黄色输入字段；不要改工作表名、第 4 行列名或 SchemaVersion 位置。</x:v>
      </x:c>
      <x:c r="C19" s="59"/>
      <x:c r="D19" s="59"/>
      <x:c r="E19" s="59"/>
      <x:c r="F19" s="59"/>
      <x:c r="G19" s="59"/>
      <x:c r="H19" s="59"/>
    </x:row>
    <x:row r="20">
      <x:c r="A20" s="58" t="str">
        <x:v>2</x:v>
      </x:c>
      <x:c r="B20" s="59" t="str">
        <x:v>回到 Unity：Landsong / Building / 建筑数值导表工具。</x:v>
      </x:c>
      <x:c r="C20" s="59"/>
      <x:c r="D20" s="59"/>
      <x:c r="E20" s="59"/>
      <x:c r="F20" s="59"/>
      <x:c r="G20" s="59"/>
      <x:c r="H20" s="59"/>
    </x:row>
    <x:row r="21">
      <x:c r="A21" s="58" t="str">
        <x:v>3</x:v>
      </x:c>
      <x:c r="B21" s="59" t="str">
        <x:v>点击“重新读取并校验”，先修复全部错误。警告可根据内容判断。</x:v>
      </x:c>
      <x:c r="C21" s="59"/>
      <x:c r="D21" s="59"/>
      <x:c r="E21" s="59"/>
      <x:c r="F21" s="59"/>
      <x:c r="G21" s="59"/>
      <x:c r="H21" s="59"/>
    </x:row>
    <x:row r="22">
      <x:c r="A22" s="58" t="str">
        <x:v>4</x:v>
      </x:c>
      <x:c r="B22" s="59" t="str">
        <x:v>确认影响预览后执行导入；导入支持一次 Undo。</x:v>
      </x:c>
      <x:c r="C22" s="59"/>
      <x:c r="D22" s="59"/>
      <x:c r="E22" s="59"/>
      <x:c r="F22" s="59"/>
      <x:c r="G22" s="59"/>
      <x:c r="H22" s="59"/>
    </x:row>
    <x:row r="23">
      <x:c r="A23" s="58" t="str">
        <x:v>5</x:v>
      </x:c>
      <x:c r="B23" s="59" t="str">
        <x:v>新增建筑或模块结构仍先用建筑编辑器创建，再补本表数据。未知 FamilyId 不会自动创建资产。</x:v>
      </x:c>
      <x:c r="C23" s="59"/>
      <x:c r="D23" s="59"/>
      <x:c r="E23" s="59"/>
      <x:c r="F23" s="59"/>
      <x:c r="G23" s="59"/>
      <x:c r="H23" s="59"/>
    </x:row>
  </x:sheetData>
  <x:mergeCells>
    <x:mergeCell ref="A1:H1"/>
    <x:mergeCell ref="A2:H2"/>
    <x:mergeCell ref="A10:H10"/>
    <x:mergeCell ref="B11:H11"/>
    <x:mergeCell ref="B12:H12"/>
    <x:mergeCell ref="B13:H13"/>
    <x:mergeCell ref="B14:H14"/>
    <x:mergeCell ref="B15:H15"/>
    <x:mergeCell ref="B16:H16"/>
    <x:mergeCell ref="A18:H18"/>
    <x:mergeCell ref="B19:H19"/>
    <x:mergeCell ref="B20:H20"/>
    <x:mergeCell ref="B21:H21"/>
    <x:mergeCell ref="B22:H22"/>
    <x:mergeCell ref="B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8" hidden="0" customWidth="1"/>
    <x:col min="5" max="5" width="8" hidden="0" customWidth="1"/>
    <x:col min="6" max="6" width="11" hidden="0" customWidth="1"/>
    <x:col min="7" max="7" width="16" hidden="0" customWidth="1"/>
    <x:col min="8" max="8" width="11" hidden="0" customWidth="1"/>
    <x:col min="9" max="9" width="11" hidden="0" customWidth="1"/>
    <x:col min="10" max="10" width="11" hidden="0" customWidth="1"/>
    <x:col min="11" max="11" width="28" hidden="0" customWidth="1"/>
    <x:col min="12" max="12" width="14" hidden="0" customWidth="1"/>
    <x:col min="13" max="13" width="13" hidden="0" customWidth="1"/>
    <x:col min="14" max="14" width="10" hidden="0" customWidth="1"/>
    <x:col min="15" max="15" width="11" hidden="0" customWidth="1"/>
    <x:col min="16" max="16" width="12" hidden="0" customWidth="1"/>
    <x:col min="17" max="17" width="17" hidden="0" customWidth="1"/>
    <x:col min="18" max="18" width="12" hidden="0" customWidth="1"/>
    <x:col min="19" max="19" width="42" hidden="0" customWidth="1"/>
  </x:cols>
  <x:sheetData>
    <x:row r="1" ht="30" customHeight="1">
      <x:c r="A1" s="3" t="str">
        <x:v>建筑家族（公共数值）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8" customHeight="1">
      <x:c r="A2" s="7" t="str">
        <x:v>一行一个现有 FamilyId。FamilyId 是匹配键，不能用导表重命名；图标与显示条件不在本表。地形Keys 多项用 | 分隔。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</x:row>
    <x:row r="4" ht="30" customHeight="1">
      <x:c r="A4" s="66" t="str">
        <x:v>FamilyId</x:v>
      </x:c>
      <x:c r="B4" s="67" t="str">
        <x:v>名称</x:v>
      </x:c>
      <x:c r="C4" s="67" t="str">
        <x:v>分类</x:v>
      </x:c>
      <x:c r="D4" s="67" t="str">
        <x:v>SizeX</x:v>
      </x:c>
      <x:c r="E4" s="67" t="str">
        <x:v>SizeY</x:v>
      </x:c>
      <x:c r="F4" s="67" t="str">
        <x:v>忽略地形</x:v>
      </x:c>
      <x:c r="G4" s="67" t="str">
        <x:v>地形Keys</x:v>
      </x:c>
      <x:c r="H4" s="67" t="str">
        <x:v>移动阻力</x:v>
      </x:c>
      <x:c r="I4" s="67" t="str">
        <x:v>施工回合</x:v>
      </x:c>
      <x:c r="J4" s="67" t="str">
        <x:v>数量上限</x:v>
      </x:c>
      <x:c r="K4" s="67" t="str">
        <x:v>数量限制分组ID</x:v>
      </x:c>
      <x:c r="L4" s="67" t="str">
        <x:v>蓝图初始锁定</x:v>
      </x:c>
      <x:c r="M4" s="67" t="str">
        <x:v>锁定时隐藏</x:v>
      </x:c>
      <x:c r="N4" s="67" t="str">
        <x:v>菜单排序</x:v>
      </x:c>
      <x:c r="O4" s="67" t="str">
        <x:v>开发完成</x:v>
      </x:c>
      <x:c r="P4" s="67" t="str">
        <x:v>资源提供点</x:v>
      </x:c>
      <x:c r="Q4" s="67" t="str">
        <x:v>资源提供优先级</x:v>
      </x:c>
      <x:c r="R4" s="67" t="str">
        <x:v>行动力预算</x:v>
      </x:c>
      <x:c r="S4" s="68" t="str">
        <x:v>说明</x:v>
      </x:c>
    </x:row>
    <x:row r="5">
      <x:c r="A5" s="73" t="str">
        <x:v>building.player_home</x:v>
      </x:c>
      <x:c r="B5" s="73" t="str">
        <x:v>王宫</x:v>
      </x:c>
      <x:c r="C5" s="73" t="str">
        <x:v>市政</x:v>
      </x:c>
      <x:c r="D5" s="75" t="n">
        <x:v>4</x:v>
      </x:c>
      <x:c r="E5" s="75" t="n">
        <x:v>4</x:v>
      </x:c>
      <x:c r="F5" s="73" t="str">
        <x:v>否</x:v>
      </x:c>
      <x:c r="G5" s="73" t="str">
        <x:v>陆地</x:v>
      </x:c>
      <x:c r="H5" s="75" t="n">
        <x:v>0</x:v>
      </x:c>
      <x:c r="I5" s="75" t="n">
        <x:v>1</x:v>
      </x:c>
      <x:c r="J5" s="75" t="n">
        <x:v>1</x:v>
      </x:c>
      <x:c r="K5" s="73" t="str">
        <x:v>building.player_home</x:v>
      </x:c>
      <x:c r="L5" s="73" t="str">
        <x:v>否</x:v>
      </x:c>
      <x:c r="M5" s="73" t="str">
        <x:v>否</x:v>
      </x:c>
      <x:c r="N5" s="75" t="n">
        <x:v>0</x:v>
      </x:c>
      <x:c r="O5" s="73" t="str">
        <x:v>是</x:v>
      </x:c>
      <x:c r="P5" s="73" t="str">
        <x:v>是</x:v>
      </x:c>
      <x:c r="Q5" s="75" t="n">
        <x:v>0</x:v>
      </x:c>
      <x:c r="R5" s="75" t="n">
        <x:v>100</x:v>
      </x:c>
      <x:c r="S5" s="73" t="str">
        <x:v>显示条件由 Unity 维护为隐藏；提供固定人口、库存与科技点</x:v>
      </x:c>
    </x:row>
    <x:row r="6">
      <x:c r="A6" s="74" t="str">
        <x:v>building.residential_house</x:v>
      </x:c>
      <x:c r="B6" s="74" t="str">
        <x:v>居民房</x:v>
      </x:c>
      <x:c r="C6" s="74" t="str">
        <x:v>人口</x:v>
      </x:c>
      <x:c r="D6" s="76" t="n">
        <x:v>1</x:v>
      </x:c>
      <x:c r="E6" s="76" t="n">
        <x:v>1</x:v>
      </x:c>
      <x:c r="F6" s="74" t="str">
        <x:v>否</x:v>
      </x:c>
      <x:c r="G6" s="74" t="str">
        <x:v>陆地</x:v>
      </x:c>
      <x:c r="H6" s="76" t="n">
        <x:v>0</x:v>
      </x:c>
      <x:c r="I6" s="76" t="n">
        <x:v>3</x:v>
      </x:c>
      <x:c r="J6" s="76" t="n">
        <x:v>99</x:v>
      </x:c>
      <x:c r="K6" s="74" t="str">
        <x:v>building.residential_house</x:v>
      </x:c>
      <x:c r="L6" s="74" t="str">
        <x:v>否</x:v>
      </x:c>
      <x:c r="M6" s="74" t="str">
        <x:v>否</x:v>
      </x:c>
      <x:c r="N6" s="76" t="n">
        <x:v>0</x:v>
      </x:c>
      <x:c r="O6" s="74" t="str">
        <x:v>是</x:v>
      </x:c>
      <x:c r="P6" s="74" t="str">
        <x:v>否</x:v>
      </x:c>
      <x:c r="Q6" s="76" t="n">
        <x:v>0</x:v>
      </x:c>
      <x:c r="R6" s="76" t="n">
        <x:v>100</x:v>
      </x:c>
      <x:c r="S6" s="74" t="str">
        <x:v>放置后经历 3 个施工阶段</x:v>
      </x:c>
    </x:row>
    <x:row r="7">
      <x:c r="A7" s="74" t="str">
        <x:v>building.lumber_cabin</x:v>
      </x:c>
      <x:c r="B7" s="74" t="str">
        <x:v>伐木小屋</x:v>
      </x:c>
      <x:c r="C7" s="74" t="str">
        <x:v>工业</x:v>
      </x:c>
      <x:c r="D7" s="76" t="n">
        <x:v>1</x:v>
      </x:c>
      <x:c r="E7" s="76" t="n">
        <x:v>1</x:v>
      </x:c>
      <x:c r="F7" s="74" t="str">
        <x:v>否</x:v>
      </x:c>
      <x:c r="G7" s="74" t="str">
        <x:v>陆地</x:v>
      </x:c>
      <x:c r="H7" s="76" t="n">
        <x:v>0</x:v>
      </x:c>
      <x:c r="I7" s="76" t="n">
        <x:v>1</x:v>
      </x:c>
      <x:c r="J7" s="76" t="n">
        <x:v>0</x:v>
      </x:c>
      <x:c r="K7" s="74" t="str">
        <x:v>building.lumber_cabin</x:v>
      </x:c>
      <x:c r="L7" s="74" t="str">
        <x:v>是</x:v>
      </x:c>
      <x:c r="M7" s="74" t="str">
        <x:v>是</x:v>
      </x:c>
      <x:c r="N7" s="76" t="n">
        <x:v>0</x:v>
      </x:c>
      <x:c r="O7" s="74" t="str">
        <x:v>是</x:v>
      </x:c>
      <x:c r="P7" s="74" t="str">
        <x:v>否</x:v>
      </x:c>
      <x:c r="Q7" s="76" t="n">
        <x:v>0</x:v>
      </x:c>
      <x:c r="R7" s="76" t="n">
        <x:v>100</x:v>
      </x:c>
      <x:c r="S7" s="74" t="str">
        <x:v>岗位 + 普通生产</x:v>
      </x:c>
    </x:row>
    <x:row r="8">
      <x:c r="A8" s="74" t="str">
        <x:v>building.fishing_hut</x:v>
      </x:c>
      <x:c r="B8" s="74" t="str">
        <x:v>捕鱼小屋</x:v>
      </x:c>
      <x:c r="C8" s="74" t="str">
        <x:v>农业</x:v>
      </x:c>
      <x:c r="D8" s="76" t="n">
        <x:v>2</x:v>
      </x:c>
      <x:c r="E8" s="76" t="n">
        <x:v>2</x:v>
      </x:c>
      <x:c r="F8" s="74" t="str">
        <x:v>否</x:v>
      </x:c>
      <x:c r="G8" s="74" t="str">
        <x:v>陆地</x:v>
      </x:c>
      <x:c r="H8" s="76" t="n">
        <x:v>0</x:v>
      </x:c>
      <x:c r="I8" s="76" t="n">
        <x:v>1</x:v>
      </x:c>
      <x:c r="J8" s="76" t="n">
        <x:v>0</x:v>
      </x:c>
      <x:c r="K8" s="74" t="str">
        <x:v>building.fishing_hut</x:v>
      </x:c>
      <x:c r="L8" s="74" t="str">
        <x:v>否</x:v>
      </x:c>
      <x:c r="M8" s="74" t="str">
        <x:v>否</x:v>
      </x:c>
      <x:c r="N8" s="76" t="n">
        <x:v>0</x:v>
      </x:c>
      <x:c r="O8" s="74" t="str">
        <x:v>否</x:v>
      </x:c>
      <x:c r="P8" s="74" t="str">
        <x:v>否</x:v>
      </x:c>
      <x:c r="Q8" s="76" t="n">
        <x:v>0</x:v>
      </x:c>
      <x:c r="R8" s="76" t="n">
        <x:v>100</x:v>
      </x:c>
      <x:c r="S8" s="74" t="str">
        <x:v>岗位 + 普通生产 + 稀有产出</x:v>
      </x:c>
    </x:row>
    <x:row r="9">
      <x:c r="A9" s="74" t="str">
        <x:v>building.farm_field</x:v>
      </x:c>
      <x:c r="B9" s="74" t="str">
        <x:v>农田</x:v>
      </x:c>
      <x:c r="C9" s="74" t="str">
        <x:v>农业</x:v>
      </x:c>
      <x:c r="D9" s="76" t="n">
        <x:v>2</x:v>
      </x:c>
      <x:c r="E9" s="76" t="n">
        <x:v>2</x:v>
      </x:c>
      <x:c r="F9" s="74" t="str">
        <x:v>否</x:v>
      </x:c>
      <x:c r="G9" s="74" t="str">
        <x:v>陆地</x:v>
      </x:c>
      <x:c r="H9" s="76" t="n">
        <x:v>0</x:v>
      </x:c>
      <x:c r="I9" s="76" t="n">
        <x:v>1</x:v>
      </x:c>
      <x:c r="J9" s="76" t="n">
        <x:v>0</x:v>
      </x:c>
      <x:c r="K9" s="74" t="str">
        <x:v>building.farm_field</x:v>
      </x:c>
      <x:c r="L9" s="74" t="str">
        <x:v>否</x:v>
      </x:c>
      <x:c r="M9" s="74" t="str">
        <x:v>否</x:v>
      </x:c>
      <x:c r="N9" s="76" t="n">
        <x:v>0</x:v>
      </x:c>
      <x:c r="O9" s="74" t="str">
        <x:v>是</x:v>
      </x:c>
      <x:c r="P9" s="74" t="str">
        <x:v>否</x:v>
      </x:c>
      <x:c r="Q9" s="76" t="n">
        <x:v>0</x:v>
      </x:c>
      <x:c r="R9" s="76" t="n">
        <x:v>100</x:v>
      </x:c>
      <x:c r="S9" s="74" t="str">
        <x:v>作物表当前为空，待策划配置</x:v>
      </x:c>
    </x:row>
    <x:row r="10">
      <x:c r="A10" s="74" t="str">
        <x:v>building.market</x:v>
      </x:c>
      <x:c r="B10" s="74" t="str">
        <x:v>市场</x:v>
      </x:c>
      <x:c r="C10" s="74" t="str">
        <x:v>经济</x:v>
      </x:c>
      <x:c r="D10" s="76" t="n">
        <x:v>1</x:v>
      </x:c>
      <x:c r="E10" s="76" t="n">
        <x:v>1</x:v>
      </x:c>
      <x:c r="F10" s="74" t="str">
        <x:v>否</x:v>
      </x:c>
      <x:c r="G10" s="74" t="str">
        <x:v>陆地</x:v>
      </x:c>
      <x:c r="H10" s="76" t="n">
        <x:v>0</x:v>
      </x:c>
      <x:c r="I10" s="76" t="n">
        <x:v>1</x:v>
      </x:c>
      <x:c r="J10" s="76" t="n">
        <x:v>0</x:v>
      </x:c>
      <x:c r="K10" s="74" t="str">
        <x:v>building.market</x:v>
      </x:c>
      <x:c r="L10" s="74" t="str">
        <x:v>否</x:v>
      </x:c>
      <x:c r="M10" s="74" t="str">
        <x:v>否</x:v>
      </x:c>
      <x:c r="N10" s="76" t="n">
        <x:v>0</x:v>
      </x:c>
      <x:c r="O10" s="74" t="str">
        <x:v>是</x:v>
      </x:c>
      <x:c r="P10" s="74" t="str">
        <x:v>是</x:v>
      </x:c>
      <x:c r="Q10" s="76" t="n">
        <x:v>10</x:v>
      </x:c>
      <x:c r="R10" s="76" t="n">
        <x:v>100</x:v>
      </x:c>
      <x:c r="S10" s="74" t="str">
        <x:v>满岗位时作为资源提供点并按价值结算金币</x:v>
      </x:c>
    </x:row>
    <x:row r="11">
      <x:c r="A11" s="74" t="str">
        <x:v>building.road</x:v>
      </x:c>
      <x:c r="B11" s="74" t="str">
        <x:v>泥路</x:v>
      </x:c>
      <x:c r="C11" s="74" t="str">
        <x:v>交通</x:v>
      </x:c>
      <x:c r="D11" s="76" t="n">
        <x:v>1</x:v>
      </x:c>
      <x:c r="E11" s="76" t="n">
        <x:v>1</x:v>
      </x:c>
      <x:c r="F11" s="74" t="str">
        <x:v>否</x:v>
      </x:c>
      <x:c r="G11" s="74" t="str">
        <x:v>陆地</x:v>
      </x:c>
      <x:c r="H11" s="76" t="n">
        <x:v>5</x:v>
      </x:c>
      <x:c r="I11" s="76" t="n">
        <x:v>1</x:v>
      </x:c>
      <x:c r="J11" s="76" t="n">
        <x:v>0</x:v>
      </x:c>
      <x:c r="K11" s="74" t="str">
        <x:v>building.road</x:v>
      </x:c>
      <x:c r="L11" s="74" t="str">
        <x:v>否</x:v>
      </x:c>
      <x:c r="M11" s="74" t="str">
        <x:v>否</x:v>
      </x:c>
      <x:c r="N11" s="76" t="n">
        <x:v>0</x:v>
      </x:c>
      <x:c r="O11" s="74" t="str">
        <x:v>是</x:v>
      </x:c>
      <x:c r="P11" s="74" t="str">
        <x:v>否</x:v>
      </x:c>
      <x:c r="Q11" s="76" t="n">
        <x:v>0</x:v>
      </x:c>
      <x:c r="R11" s="76" t="n">
        <x:v>100</x:v>
      </x:c>
      <x:c r="S11" s="74" t="str">
        <x:v>移动阻力 5</x:v>
      </x:c>
    </x:row>
    <x:row r="12">
      <x:c r="A12" s="74" t="str">
        <x:v>building.tree</x:v>
      </x:c>
      <x:c r="B12" s="74" t="str">
        <x:v>树木</x:v>
      </x:c>
      <x:c r="C12" s="74" t="str">
        <x:v>装饰</x:v>
      </x:c>
      <x:c r="D12" s="76" t="n">
        <x:v>1</x:v>
      </x:c>
      <x:c r="E12" s="76" t="n">
        <x:v>1</x:v>
      </x:c>
      <x:c r="F12" s="74" t="str">
        <x:v>否</x:v>
      </x:c>
      <x:c r="G12" s="74" t="str">
        <x:v>陆地</x:v>
      </x:c>
      <x:c r="H12" s="76" t="n">
        <x:v>0</x:v>
      </x:c>
      <x:c r="I12" s="76" t="n">
        <x:v>1</x:v>
      </x:c>
      <x:c r="J12" s="76" t="n">
        <x:v>0</x:v>
      </x:c>
      <x:c r="K12" s="74" t="str">
        <x:v>building.tree</x:v>
      </x:c>
      <x:c r="L12" s="74" t="str">
        <x:v>否</x:v>
      </x:c>
      <x:c r="M12" s="74" t="str">
        <x:v>否</x:v>
      </x:c>
      <x:c r="N12" s="76" t="n">
        <x:v>0</x:v>
      </x:c>
      <x:c r="O12" s="74" t="str">
        <x:v>是</x:v>
      </x:c>
      <x:c r="P12" s="74" t="str">
        <x:v>否</x:v>
      </x:c>
      <x:c r="Q12" s="76" t="n">
        <x:v>0</x:v>
      </x:c>
      <x:c r="R12" s="76" t="n">
        <x:v>100</x:v>
      </x:c>
      <x:c r="S12" s="74" t="str">
        <x:v>一个家族，八个视觉 Style</x:v>
      </x:c>
    </x:row>
    <x:row r="13">
      <x:c r="A13" s="45"/>
      <x:c r="B13" s="45"/>
      <x:c r="C13" s="45"/>
      <x:c r="D13" s="92"/>
      <x:c r="E13" s="92"/>
      <x:c r="F13" s="45"/>
      <x:c r="G13" s="45"/>
      <x:c r="H13" s="92"/>
      <x:c r="I13" s="92"/>
      <x:c r="J13" s="92"/>
      <x:c r="K13" s="45"/>
      <x:c r="L13" s="45"/>
      <x:c r="M13" s="45"/>
      <x:c r="N13" s="92"/>
      <x:c r="O13" s="45"/>
      <x:c r="P13" s="45"/>
      <x:c r="Q13" s="92"/>
      <x:c r="R13" s="92"/>
      <x:c r="S13" s="45"/>
    </x:row>
    <x:row r="14">
      <x:c r="A14" s="45"/>
      <x:c r="B14" s="45"/>
      <x:c r="C14" s="45"/>
      <x:c r="D14" s="92"/>
      <x:c r="E14" s="92"/>
      <x:c r="F14" s="45"/>
      <x:c r="G14" s="45"/>
      <x:c r="H14" s="92"/>
      <x:c r="I14" s="92"/>
      <x:c r="J14" s="92"/>
      <x:c r="K14" s="45"/>
      <x:c r="L14" s="45"/>
      <x:c r="M14" s="45"/>
      <x:c r="N14" s="92"/>
      <x:c r="O14" s="45"/>
      <x:c r="P14" s="45"/>
      <x:c r="Q14" s="92"/>
      <x:c r="R14" s="92"/>
      <x:c r="S14" s="45"/>
    </x:row>
    <x:row r="15">
      <x:c r="A15" s="45"/>
      <x:c r="B15" s="45"/>
      <x:c r="C15" s="45"/>
      <x:c r="D15" s="92"/>
      <x:c r="E15" s="92"/>
      <x:c r="F15" s="45"/>
      <x:c r="G15" s="45"/>
      <x:c r="H15" s="92"/>
      <x:c r="I15" s="92"/>
      <x:c r="J15" s="92"/>
      <x:c r="K15" s="45"/>
      <x:c r="L15" s="45"/>
      <x:c r="M15" s="45"/>
      <x:c r="N15" s="92"/>
      <x:c r="O15" s="45"/>
      <x:c r="P15" s="45"/>
      <x:c r="Q15" s="92"/>
      <x:c r="R15" s="92"/>
      <x:c r="S15" s="45"/>
    </x:row>
    <x:row r="16">
      <x:c r="A16" s="45"/>
      <x:c r="B16" s="45"/>
      <x:c r="C16" s="45"/>
      <x:c r="D16" s="92"/>
      <x:c r="E16" s="92"/>
      <x:c r="F16" s="45"/>
      <x:c r="G16" s="45"/>
      <x:c r="H16" s="92"/>
      <x:c r="I16" s="92"/>
      <x:c r="J16" s="92"/>
      <x:c r="K16" s="45"/>
      <x:c r="L16" s="45"/>
      <x:c r="M16" s="45"/>
      <x:c r="N16" s="92"/>
      <x:c r="O16" s="45"/>
      <x:c r="P16" s="45"/>
      <x:c r="Q16" s="92"/>
      <x:c r="R16" s="92"/>
      <x:c r="S16" s="45"/>
    </x:row>
    <x:row r="17">
      <x:c r="A17" s="45"/>
      <x:c r="B17" s="45"/>
      <x:c r="C17" s="45"/>
      <x:c r="D17" s="92"/>
      <x:c r="E17" s="92"/>
      <x:c r="F17" s="45"/>
      <x:c r="G17" s="45"/>
      <x:c r="H17" s="92"/>
      <x:c r="I17" s="92"/>
      <x:c r="J17" s="92"/>
      <x:c r="K17" s="45"/>
      <x:c r="L17" s="45"/>
      <x:c r="M17" s="45"/>
      <x:c r="N17" s="92"/>
      <x:c r="O17" s="45"/>
      <x:c r="P17" s="45"/>
      <x:c r="Q17" s="92"/>
      <x:c r="R17" s="92"/>
      <x:c r="S17" s="45"/>
    </x:row>
    <x:row r="18">
      <x:c r="A18" s="45"/>
      <x:c r="B18" s="45"/>
      <x:c r="C18" s="45"/>
      <x:c r="D18" s="92"/>
      <x:c r="E18" s="92"/>
      <x:c r="F18" s="45"/>
      <x:c r="G18" s="45"/>
      <x:c r="H18" s="92"/>
      <x:c r="I18" s="92"/>
      <x:c r="J18" s="92"/>
      <x:c r="K18" s="45"/>
      <x:c r="L18" s="45"/>
      <x:c r="M18" s="45"/>
      <x:c r="N18" s="92"/>
      <x:c r="O18" s="45"/>
      <x:c r="P18" s="45"/>
      <x:c r="Q18" s="92"/>
      <x:c r="R18" s="92"/>
      <x:c r="S18" s="45"/>
    </x:row>
    <x:row r="19">
      <x:c r="A19" s="45"/>
      <x:c r="B19" s="45"/>
      <x:c r="C19" s="45"/>
      <x:c r="D19" s="92"/>
      <x:c r="E19" s="92"/>
      <x:c r="F19" s="45"/>
      <x:c r="G19" s="45"/>
      <x:c r="H19" s="92"/>
      <x:c r="I19" s="92"/>
      <x:c r="J19" s="92"/>
      <x:c r="K19" s="45"/>
      <x:c r="L19" s="45"/>
      <x:c r="M19" s="45"/>
      <x:c r="N19" s="92"/>
      <x:c r="O19" s="45"/>
      <x:c r="P19" s="45"/>
      <x:c r="Q19" s="92"/>
      <x:c r="R19" s="92"/>
      <x:c r="S19" s="45"/>
    </x:row>
    <x:row r="20">
      <x:c r="A20" s="45"/>
      <x:c r="B20" s="45"/>
      <x:c r="C20" s="45"/>
      <x:c r="D20" s="92"/>
      <x:c r="E20" s="92"/>
      <x:c r="F20" s="45"/>
      <x:c r="G20" s="45"/>
      <x:c r="H20" s="92"/>
      <x:c r="I20" s="92"/>
      <x:c r="J20" s="92"/>
      <x:c r="K20" s="45"/>
      <x:c r="L20" s="45"/>
      <x:c r="M20" s="45"/>
      <x:c r="N20" s="92"/>
      <x:c r="O20" s="45"/>
      <x:c r="P20" s="45"/>
      <x:c r="Q20" s="92"/>
      <x:c r="R20" s="92"/>
      <x:c r="S20" s="45"/>
    </x:row>
    <x:row r="21">
      <x:c r="A21" s="45"/>
      <x:c r="B21" s="45"/>
      <x:c r="C21" s="45"/>
      <x:c r="D21" s="92"/>
      <x:c r="E21" s="92"/>
      <x:c r="F21" s="45"/>
      <x:c r="G21" s="45"/>
      <x:c r="H21" s="92"/>
      <x:c r="I21" s="92"/>
      <x:c r="J21" s="92"/>
      <x:c r="K21" s="45"/>
      <x:c r="L21" s="45"/>
      <x:c r="M21" s="45"/>
      <x:c r="N21" s="92"/>
      <x:c r="O21" s="45"/>
      <x:c r="P21" s="45"/>
      <x:c r="Q21" s="92"/>
      <x:c r="R21" s="92"/>
      <x:c r="S21" s="45"/>
    </x:row>
    <x:row r="22">
      <x:c r="A22" s="45"/>
      <x:c r="B22" s="45"/>
      <x:c r="C22" s="45"/>
      <x:c r="D22" s="92"/>
      <x:c r="E22" s="92"/>
      <x:c r="F22" s="45"/>
      <x:c r="G22" s="45"/>
      <x:c r="H22" s="92"/>
      <x:c r="I22" s="92"/>
      <x:c r="J22" s="92"/>
      <x:c r="K22" s="45"/>
      <x:c r="L22" s="45"/>
      <x:c r="M22" s="45"/>
      <x:c r="N22" s="92"/>
      <x:c r="O22" s="45"/>
      <x:c r="P22" s="45"/>
      <x:c r="Q22" s="92"/>
      <x:c r="R22" s="92"/>
      <x:c r="S22" s="45"/>
    </x:row>
    <x:row r="23">
      <x:c r="A23" s="45"/>
      <x:c r="B23" s="45"/>
      <x:c r="C23" s="45"/>
      <x:c r="D23" s="92"/>
      <x:c r="E23" s="92"/>
      <x:c r="F23" s="45"/>
      <x:c r="G23" s="45"/>
      <x:c r="H23" s="92"/>
      <x:c r="I23" s="92"/>
      <x:c r="J23" s="92"/>
      <x:c r="K23" s="45"/>
      <x:c r="L23" s="45"/>
      <x:c r="M23" s="45"/>
      <x:c r="N23" s="92"/>
      <x:c r="O23" s="45"/>
      <x:c r="P23" s="45"/>
      <x:c r="Q23" s="92"/>
      <x:c r="R23" s="92"/>
      <x:c r="S23" s="45"/>
    </x:row>
    <x:row r="24">
      <x:c r="A24" s="45"/>
      <x:c r="B24" s="45"/>
      <x:c r="C24" s="45"/>
      <x:c r="D24" s="92"/>
      <x:c r="E24" s="92"/>
      <x:c r="F24" s="45"/>
      <x:c r="G24" s="45"/>
      <x:c r="H24" s="92"/>
      <x:c r="I24" s="92"/>
      <x:c r="J24" s="92"/>
      <x:c r="K24" s="45"/>
      <x:c r="L24" s="45"/>
      <x:c r="M24" s="45"/>
      <x:c r="N24" s="92"/>
      <x:c r="O24" s="45"/>
      <x:c r="P24" s="45"/>
      <x:c r="Q24" s="92"/>
      <x:c r="R24" s="92"/>
      <x:c r="S24" s="45"/>
    </x:row>
  </x:sheetData>
  <x:mergeCells>
    <x:mergeCell ref="A1:S1"/>
    <x:mergeCell ref="A2:S2"/>
  </x:mergeCells>
  <x:dataValidations count="6">
    <x:dataValidation type="list" sqref="C5:C24">
      <x:formula1>"人口,农业,工业,经济,科研,市政,军事,交通,装饰,奇观"</x:formula1>
    </x:dataValidation>
    <x:dataValidation type="list" sqref="F5:F24">
      <x:formula1>"是,否"</x:formula1>
    </x:dataValidation>
    <x:dataValidation type="list" sqref="L5:L24">
      <x:formula1>"是,否"</x:formula1>
    </x:dataValidation>
    <x:dataValidation type="list" sqref="M5:M24">
      <x:formula1>"是,否"</x:formula1>
    </x:dataValidation>
    <x:dataValidation type="list" sqref="O5:O24">
      <x:formula1>"是,否"</x:formula1>
    </x:dataValidation>
    <x:dataValidation type="list" sqref="P5:P24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b29f6c53b847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0" hidden="0" customWidth="1"/>
    <x:col min="4" max="4" width="40" hidden="0" customWidth="1"/>
  </x:cols>
  <x:sheetData>
    <x:row r="1" ht="30" customHeight="1">
      <x:c r="A1" s="3" t="str">
        <x:v>放置消耗</x:v>
      </x:c>
      <x:c r="B1" s="3"/>
      <x:c r="C1" s="3"/>
      <x:c r="D1" s="3"/>
    </x:row>
    <x:row r="2" ht="38" customHeight="1">
      <x:c r="A2" s="7" t="str">
        <x:v>确认放置时一次性扣除。一行一种 ItemId；无费用的建筑不写占位行。</x:v>
      </x:c>
      <x:c r="B2" s="7"/>
      <x:c r="C2" s="7"/>
      <x:c r="D2" s="7"/>
    </x:row>
    <x:row r="3">
      <x:c r="A3" s="45"/>
      <x:c r="B3" s="45"/>
      <x:c r="C3" s="45"/>
      <x:c r="D3" s="45"/>
    </x:row>
    <x:row r="4" ht="30" customHeight="1">
      <x:c r="A4" s="66" t="str">
        <x:v>FamilyId</x:v>
      </x:c>
      <x:c r="B4" s="67" t="str">
        <x:v>ItemId</x:v>
      </x:c>
      <x:c r="C4" s="67" t="str">
        <x:v>数量</x:v>
      </x:c>
      <x:c r="D4" s="68" t="str">
        <x:v>说明</x:v>
      </x:c>
    </x:row>
    <x:row r="5">
      <x:c r="A5" s="73" t="str">
        <x:v>building.residential_house</x:v>
      </x:c>
      <x:c r="B5" s="73" t="str">
        <x:v>金币</x:v>
      </x:c>
      <x:c r="C5" s="75" t="n">
        <x:v>30</x:v>
      </x:c>
      <x:c r="D5" s="73" t="str">
        <x:v>放下施工实例时支付</x:v>
      </x:c>
    </x:row>
    <x:row r="6">
      <x:c r="A6" s="74" t="str">
        <x:v>building.residential_house</x:v>
      </x:c>
      <x:c r="B6" s="74" t="str">
        <x:v>石头</x:v>
      </x:c>
      <x:c r="C6" s="76" t="n">
        <x:v>1</x:v>
      </x:c>
      <x:c r="D6" s="74" t="str">
        <x:v>放下施工实例时支付</x:v>
      </x:c>
    </x:row>
    <x:row r="7">
      <x:c r="A7" s="74" t="str">
        <x:v>building.residential_house</x:v>
      </x:c>
      <x:c r="B7" s="74" t="str">
        <x:v>原木</x:v>
      </x:c>
      <x:c r="C7" s="76" t="n">
        <x:v>1</x:v>
      </x:c>
      <x:c r="D7" s="74" t="str">
        <x:v>放下施工实例时支付</x:v>
      </x:c>
    </x:row>
    <x:row r="8">
      <x:c r="A8" s="74" t="str">
        <x:v>building.tree</x:v>
      </x:c>
      <x:c r="B8" s="74" t="str">
        <x:v>金币</x:v>
      </x:c>
      <x:c r="C8" s="76" t="n">
        <x:v>10</x:v>
      </x:c>
      <x:c r="D8" s="74" t="str">
        <x:v>所有 Tree Style 共用</x:v>
      </x:c>
    </x:row>
    <x:row r="9">
      <x:c r="A9" s="74" t="str">
        <x:v>building.tree</x:v>
      </x:c>
      <x:c r="B9" s="74" t="str">
        <x:v>树苗</x:v>
      </x:c>
      <x:c r="C9" s="76" t="n">
        <x:v>1</x:v>
      </x:c>
      <x:c r="D9" s="74" t="str">
        <x:v>所有 Tree Style 共用</x:v>
      </x:c>
    </x:row>
    <x:row r="10">
      <x:c r="A10" s="45"/>
      <x:c r="B10" s="45"/>
      <x:c r="C10" s="92"/>
      <x:c r="D10" s="45"/>
    </x:row>
    <x:row r="11">
      <x:c r="A11" s="45"/>
      <x:c r="B11" s="45"/>
      <x:c r="C11" s="92"/>
      <x:c r="D11" s="45"/>
    </x:row>
    <x:row r="12">
      <x:c r="A12" s="45"/>
      <x:c r="B12" s="45"/>
      <x:c r="C12" s="92"/>
      <x:c r="D12" s="45"/>
    </x:row>
    <x:row r="13">
      <x:c r="A13" s="45"/>
      <x:c r="B13" s="45"/>
      <x:c r="C13" s="92"/>
      <x:c r="D13" s="45"/>
    </x:row>
    <x:row r="14">
      <x:c r="A14" s="45"/>
      <x:c r="B14" s="45"/>
      <x:c r="C14" s="92"/>
      <x:c r="D14" s="45"/>
    </x:row>
    <x:row r="15">
      <x:c r="A15" s="45"/>
      <x:c r="B15" s="45"/>
      <x:c r="C15" s="92"/>
      <x:c r="D15" s="45"/>
    </x:row>
    <x:row r="16">
      <x:c r="A16" s="45"/>
      <x:c r="B16" s="45"/>
      <x:c r="C16" s="92"/>
      <x:c r="D16" s="45"/>
    </x:row>
    <x:row r="17">
      <x:c r="A17" s="45"/>
      <x:c r="B17" s="45"/>
      <x:c r="C17" s="92"/>
      <x:c r="D17" s="45"/>
    </x:row>
    <x:row r="18">
      <x:c r="A18" s="45"/>
      <x:c r="B18" s="45"/>
      <x:c r="C18" s="92"/>
      <x:c r="D18" s="45"/>
    </x:row>
    <x:row r="19">
      <x:c r="A19" s="45"/>
      <x:c r="B19" s="45"/>
      <x:c r="C19" s="92"/>
      <x:c r="D19" s="45"/>
    </x:row>
    <x:row r="20">
      <x:c r="A20" s="45"/>
      <x:c r="B20" s="45"/>
      <x:c r="C20" s="92"/>
      <x:c r="D20" s="45"/>
    </x:row>
    <x:row r="21">
      <x:c r="A21" s="45"/>
      <x:c r="B21" s="45"/>
      <x:c r="C21" s="92"/>
      <x:c r="D21" s="45"/>
    </x:row>
    <x:row r="22">
      <x:c r="A22" s="45"/>
      <x:c r="B22" s="45"/>
      <x:c r="C22" s="92"/>
      <x:c r="D22" s="45"/>
    </x:row>
    <x:row r="23">
      <x:c r="A23" s="45"/>
      <x:c r="B23" s="45"/>
      <x:c r="C23" s="92"/>
      <x:c r="D23" s="45"/>
    </x:row>
    <x:row r="24">
      <x:c r="A24" s="45"/>
      <x:c r="B24" s="45"/>
      <x:c r="C24" s="92"/>
      <x:c r="D24" s="45"/>
    </x:row>
  </x:sheetData>
  <x:mergeCells>
    <x:mergeCell ref="A1:D1"/>
    <x:mergeCell ref="A2:D2"/>
  </x:mergeCells>
  <x:dataValidations count="2">
    <x:dataValidation type="list" sqref="A5:A24">
      <x:formula1>"building.player_home,building.residential_house,building.lumber_cabin,building.fishing_hut,building.farm_field,building.market,building.road,building.tree"</x:formula1>
    </x:dataValidation>
    <x:dataValidation type="list" sqref="B5:B24">
      <x:formula1>"金币,泥土,石头,原木,木头,树苗,蔬菜,鱼,黄金鱼"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326d8128474c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6" hidden="0" customWidth="1"/>
    <x:col min="4" max="4" width="10" hidden="0" customWidth="1"/>
    <x:col min="5" max="5" width="36" hidden="0" customWidth="1"/>
  </x:cols>
  <x:sheetData>
    <x:row r="1" ht="30" customHeight="1">
      <x:c r="A1" s="3" t="str">
        <x:v>逐回合施工消耗</x:v>
      </x:c>
      <x:c r="B1" s="3"/>
      <x:c r="C1" s="3"/>
      <x:c r="D1" s="3"/>
      <x:c r="E1" s="3"/>
    </x:row>
    <x:row r="2" ht="38" customHeight="1">
      <x:c r="A2" s="7" t="str">
        <x:v>回合序号从 1 开始，不能超过建筑家族表中的施工回合。空施工回合不写费用行。</x:v>
      </x:c>
      <x:c r="B2" s="7"/>
      <x:c r="C2" s="7"/>
      <x:c r="D2" s="7"/>
      <x:c r="E2" s="7"/>
    </x:row>
    <x:row r="3">
      <x:c r="A3" s="45"/>
      <x:c r="B3" s="45"/>
      <x:c r="C3" s="45"/>
      <x:c r="D3" s="45"/>
      <x:c r="E3" s="45"/>
    </x:row>
    <x:row r="4" ht="30" customHeight="1">
      <x:c r="A4" s="66" t="str">
        <x:v>FamilyId</x:v>
      </x:c>
      <x:c r="B4" s="67" t="str">
        <x:v>回合序号</x:v>
      </x:c>
      <x:c r="C4" s="67" t="str">
        <x:v>ItemId</x:v>
      </x:c>
      <x:c r="D4" s="67" t="str">
        <x:v>数量</x:v>
      </x:c>
      <x:c r="E4" s="68" t="str">
        <x:v>说明</x:v>
      </x:c>
    </x:row>
    <x:row r="5">
      <x:c r="A5" s="73" t="str">
        <x:v>building.residential_house</x:v>
      </x:c>
      <x:c r="B5" s="75" t="n">
        <x:v>1</x:v>
      </x:c>
      <x:c r="C5" s="75" t="str">
        <x:v>泥土</x:v>
      </x:c>
      <x:c r="D5" s="75" t="n">
        <x:v>10</x:v>
      </x:c>
      <x:c r="E5" s="73" t="str">
        <x:v>第 1 施工阶段</x:v>
      </x:c>
    </x:row>
    <x:row r="6">
      <x:c r="A6" s="74" t="str">
        <x:v>building.residential_house</x:v>
      </x:c>
      <x:c r="B6" s="76" t="n">
        <x:v>2</x:v>
      </x:c>
      <x:c r="C6" s="76" t="str">
        <x:v>石头</x:v>
      </x:c>
      <x:c r="D6" s="76" t="n">
        <x:v>10</x:v>
      </x:c>
      <x:c r="E6" s="74" t="str">
        <x:v>第 2 施工阶段</x:v>
      </x:c>
    </x:row>
    <x:row r="7">
      <x:c r="A7" s="74" t="str">
        <x:v>building.residential_house</x:v>
      </x:c>
      <x:c r="B7" s="76" t="n">
        <x:v>3</x:v>
      </x:c>
      <x:c r="C7" s="76" t="str">
        <x:v>原木</x:v>
      </x:c>
      <x:c r="D7" s="76" t="n">
        <x:v>10</x:v>
      </x:c>
      <x:c r="E7" s="74" t="str">
        <x:v>第 3 施工阶段</x:v>
      </x:c>
    </x:row>
    <x:row r="8">
      <x:c r="A8" s="45"/>
      <x:c r="B8" s="92"/>
      <x:c r="C8" s="92"/>
      <x:c r="D8" s="92"/>
      <x:c r="E8" s="45"/>
    </x:row>
    <x:row r="9">
      <x:c r="A9" s="45"/>
      <x:c r="B9" s="92"/>
      <x:c r="C9" s="92"/>
      <x:c r="D9" s="92"/>
      <x:c r="E9" s="45"/>
    </x:row>
    <x:row r="10">
      <x:c r="A10" s="45"/>
      <x:c r="B10" s="92"/>
      <x:c r="C10" s="92"/>
      <x:c r="D10" s="92"/>
      <x:c r="E10" s="45"/>
    </x:row>
    <x:row r="11">
      <x:c r="A11" s="45"/>
      <x:c r="B11" s="92"/>
      <x:c r="C11" s="92"/>
      <x:c r="D11" s="92"/>
      <x:c r="E11" s="45"/>
    </x:row>
    <x:row r="12">
      <x:c r="A12" s="45"/>
      <x:c r="B12" s="92"/>
      <x:c r="C12" s="92"/>
      <x:c r="D12" s="92"/>
      <x:c r="E12" s="45"/>
    </x:row>
    <x:row r="13">
      <x:c r="A13" s="45"/>
      <x:c r="B13" s="92"/>
      <x:c r="C13" s="92"/>
      <x:c r="D13" s="92"/>
      <x:c r="E13" s="45"/>
    </x:row>
    <x:row r="14">
      <x:c r="A14" s="45"/>
      <x:c r="B14" s="92"/>
      <x:c r="C14" s="92"/>
      <x:c r="D14" s="92"/>
      <x:c r="E14" s="45"/>
    </x:row>
    <x:row r="15">
      <x:c r="A15" s="45"/>
      <x:c r="B15" s="92"/>
      <x:c r="C15" s="92"/>
      <x:c r="D15" s="92"/>
      <x:c r="E15" s="45"/>
    </x:row>
    <x:row r="16">
      <x:c r="A16" s="45"/>
      <x:c r="B16" s="92"/>
      <x:c r="C16" s="92"/>
      <x:c r="D16" s="92"/>
      <x:c r="E16" s="45"/>
    </x:row>
    <x:row r="17">
      <x:c r="A17" s="45"/>
      <x:c r="B17" s="92"/>
      <x:c r="C17" s="92"/>
      <x:c r="D17" s="92"/>
      <x:c r="E17" s="45"/>
    </x:row>
    <x:row r="18">
      <x:c r="A18" s="45"/>
      <x:c r="B18" s="92"/>
      <x:c r="C18" s="92"/>
      <x:c r="D18" s="92"/>
      <x:c r="E18" s="45"/>
    </x:row>
    <x:row r="19">
      <x:c r="A19" s="45"/>
      <x:c r="B19" s="92"/>
      <x:c r="C19" s="92"/>
      <x:c r="D19" s="92"/>
      <x:c r="E19" s="45"/>
    </x:row>
    <x:row r="20">
      <x:c r="A20" s="45"/>
      <x:c r="B20" s="92"/>
      <x:c r="C20" s="92"/>
      <x:c r="D20" s="92"/>
      <x:c r="E20" s="45"/>
    </x:row>
    <x:row r="21">
      <x:c r="A21" s="45"/>
      <x:c r="B21" s="92"/>
      <x:c r="C21" s="92"/>
      <x:c r="D21" s="92"/>
      <x:c r="E21" s="45"/>
    </x:row>
    <x:row r="22">
      <x:c r="A22" s="45"/>
      <x:c r="B22" s="92"/>
      <x:c r="C22" s="92"/>
      <x:c r="D22" s="92"/>
      <x:c r="E22" s="45"/>
    </x:row>
    <x:row r="23">
      <x:c r="A23" s="45"/>
      <x:c r="B23" s="92"/>
      <x:c r="C23" s="92"/>
      <x:c r="D23" s="92"/>
      <x:c r="E23" s="45"/>
    </x:row>
    <x:row r="24">
      <x:c r="A24" s="45"/>
      <x:c r="B24" s="92"/>
      <x:c r="C24" s="92"/>
      <x:c r="D24" s="92"/>
      <x:c r="E24" s="45"/>
    </x:row>
  </x:sheetData>
  <x:mergeCells>
    <x:mergeCell ref="A1:E1"/>
    <x:mergeCell ref="A2:E2"/>
  </x:mergeCells>
  <x:dataValidations count="2">
    <x:dataValidation type="list" sqref="A5:A24">
      <x:formula1>"building.player_home,building.residential_house,building.lumber_cabin,building.fishing_hut,building.farm_field,building.market,building.road,building.tree"</x:formula1>
    </x:dataValidation>
    <x:dataValidation type="list" sqref="C5:C24">
      <x:formula1>"金币,泥土,石头,原木,木头,树苗,蔬菜,鱼,黄金鱼"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b6191568f341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" hidden="0" customWidth="1"/>
    <x:col min="3" max="3" width="10" hidden="0" customWidth="1"/>
    <x:col min="4" max="4" width="34" hidden="0" customWidth="1"/>
    <x:col min="5" max="5" width="42" hidden="0" customWidth="1"/>
  </x:cols>
  <x:sheetData>
    <x:row r="1" ht="30" customHeight="1">
      <x:c r="A1" s="3" t="str">
        <x:v>运营等级与升级条件</x:v>
      </x:c>
      <x:c r="B1" s="3"/>
      <x:c r="C1" s="3"/>
      <x:c r="D1" s="3"/>
      <x:c r="E1" s="3"/>
    </x:row>
    <x:row r="2" ht="38" customHeight="1">
      <x:c r="A2" s="7" t="str">
        <x:v>一行一个 FamilyId + Level，必须从 LV1 连续。ConditionId 支持 none、keep、technology.&lt;TechnologyId&gt;。</x:v>
      </x:c>
      <x:c r="B2" s="7"/>
      <x:c r="C2" s="7"/>
      <x:c r="D2" s="7"/>
      <x:c r="E2" s="7"/>
    </x:row>
    <x:row r="3">
      <x:c r="A3" s="45"/>
      <x:c r="B3" s="45"/>
      <x:c r="C3" s="45"/>
      <x:c r="D3" s="45"/>
      <x:c r="E3" s="45"/>
    </x:row>
    <x:row r="4" ht="30" customHeight="1">
      <x:c r="A4" s="66" t="str">
        <x:v>FamilyId</x:v>
      </x:c>
      <x:c r="B4" s="67" t="str">
        <x:v>Level</x:v>
      </x:c>
      <x:c r="C4" s="67" t="str">
        <x:v>开放</x:v>
      </x:c>
      <x:c r="D4" s="67" t="str">
        <x:v>ConditionId</x:v>
      </x:c>
      <x:c r="E4" s="68" t="str">
        <x:v>说明</x:v>
      </x:c>
    </x:row>
    <x:row r="5">
      <x:c r="A5" s="73" t="str">
        <x:v>building.player_home</x:v>
      </x:c>
      <x:c r="B5" s="75" t="n">
        <x:v>1</x:v>
      </x:c>
      <x:c r="C5" s="73" t="str">
        <x:v>是</x:v>
      </x:c>
      <x:c r="D5" s="73" t="str">
        <x:v>none</x:v>
      </x:c>
      <x:c r="E5" s="73" t="str">
        <x:v>施工完成进入 LV1</x:v>
      </x:c>
    </x:row>
    <x:row r="6">
      <x:c r="A6" s="74" t="str">
        <x:v>building.player_home</x:v>
      </x:c>
      <x:c r="B6" s="76" t="n">
        <x:v>2</x:v>
      </x:c>
      <x:c r="C6" s="74" t="str">
        <x:v>否</x:v>
      </x:c>
      <x:c r="D6" s="74" t="str">
        <x:v>none</x:v>
      </x:c>
      <x:c r="E6" s="74" t="str">
        <x:v>占位等级，开放前需补条件与数值</x:v>
      </x:c>
    </x:row>
    <x:row r="7">
      <x:c r="A7" s="74" t="str">
        <x:v>building.player_home</x:v>
      </x:c>
      <x:c r="B7" s="76" t="n">
        <x:v>3</x:v>
      </x:c>
      <x:c r="C7" s="74" t="str">
        <x:v>否</x:v>
      </x:c>
      <x:c r="D7" s="74" t="str">
        <x:v>none</x:v>
      </x:c>
      <x:c r="E7" s="74" t="str">
        <x:v>占位等级，开放前需补条件与数值</x:v>
      </x:c>
    </x:row>
    <x:row r="8">
      <x:c r="A8" s="74" t="str">
        <x:v>building.player_home</x:v>
      </x:c>
      <x:c r="B8" s="76" t="n">
        <x:v>4</x:v>
      </x:c>
      <x:c r="C8" s="74" t="str">
        <x:v>否</x:v>
      </x:c>
      <x:c r="D8" s="74" t="str">
        <x:v>none</x:v>
      </x:c>
      <x:c r="E8" s="74" t="str">
        <x:v>占位等级，开放前需补条件与数值</x:v>
      </x:c>
    </x:row>
    <x:row r="9">
      <x:c r="A9" s="74" t="str">
        <x:v>building.residential_house</x:v>
      </x:c>
      <x:c r="B9" s="76" t="n">
        <x:v>1</x:v>
      </x:c>
      <x:c r="C9" s="74" t="str">
        <x:v>是</x:v>
      </x:c>
      <x:c r="D9" s="74" t="str">
        <x:v>none</x:v>
      </x:c>
      <x:c r="E9" s="74" t="str">
        <x:v>施工完成进入 LV1</x:v>
      </x:c>
    </x:row>
    <x:row r="10">
      <x:c r="A10" s="74" t="str">
        <x:v>building.residential_house</x:v>
      </x:c>
      <x:c r="B10" s="76" t="n">
        <x:v>2</x:v>
      </x:c>
      <x:c r="C10" s="74" t="str">
        <x:v>否</x:v>
      </x:c>
      <x:c r="D10" s="74" t="str">
        <x:v>none</x:v>
      </x:c>
      <x:c r="E10" s="74" t="str">
        <x:v>占位等级</x:v>
      </x:c>
    </x:row>
    <x:row r="11">
      <x:c r="A11" s="74" t="str">
        <x:v>building.residential_house</x:v>
      </x:c>
      <x:c r="B11" s="76" t="n">
        <x:v>3</x:v>
      </x:c>
      <x:c r="C11" s="74" t="str">
        <x:v>否</x:v>
      </x:c>
      <x:c r="D11" s="74" t="str">
        <x:v>none</x:v>
      </x:c>
      <x:c r="E11" s="74" t="str">
        <x:v>占位等级</x:v>
      </x:c>
    </x:row>
    <x:row r="12">
      <x:c r="A12" s="74" t="str">
        <x:v>building.residential_house</x:v>
      </x:c>
      <x:c r="B12" s="76" t="n">
        <x:v>4</x:v>
      </x:c>
      <x:c r="C12" s="74" t="str">
        <x:v>否</x:v>
      </x:c>
      <x:c r="D12" s="74" t="str">
        <x:v>none</x:v>
      </x:c>
      <x:c r="E12" s="74" t="str">
        <x:v>占位等级</x:v>
      </x:c>
    </x:row>
    <x:row r="13">
      <x:c r="A13" s="74" t="str">
        <x:v>building.lumber_cabin</x:v>
      </x:c>
      <x:c r="B13" s="76" t="n">
        <x:v>1</x:v>
      </x:c>
      <x:c r="C13" s="74" t="str">
        <x:v>是</x:v>
      </x:c>
      <x:c r="D13" s="74" t="str">
        <x:v>none</x:v>
      </x:c>
      <x:c r="E13" s="74" t="str">
        <x:v>施工完成进入 LV1</x:v>
      </x:c>
    </x:row>
    <x:row r="14">
      <x:c r="A14" s="74" t="str">
        <x:v>building.lumber_cabin</x:v>
      </x:c>
      <x:c r="B14" s="76" t="n">
        <x:v>2</x:v>
      </x:c>
      <x:c r="C14" s="74" t="str">
        <x:v>是</x:v>
      </x:c>
      <x:c r="D14" s="74" t="str">
        <x:v>technology.TN_3_1_启蒙</x:v>
      </x:c>
      <x:c r="E14" s="74" t="str">
        <x:v>满足科技并支付升级费用</x:v>
      </x:c>
    </x:row>
    <x:row r="15">
      <x:c r="A15" s="74" t="str">
        <x:v>building.fishing_hut</x:v>
      </x:c>
      <x:c r="B15" s="76" t="n">
        <x:v>1</x:v>
      </x:c>
      <x:c r="C15" s="74" t="str">
        <x:v>是</x:v>
      </x:c>
      <x:c r="D15" s="74" t="str">
        <x:v>none</x:v>
      </x:c>
      <x:c r="E15" s="74" t="str">
        <x:v>施工完成进入 LV1</x:v>
      </x:c>
    </x:row>
    <x:row r="16">
      <x:c r="A16" s="74" t="str">
        <x:v>building.fishing_hut</x:v>
      </x:c>
      <x:c r="B16" s="76" t="n">
        <x:v>2</x:v>
      </x:c>
      <x:c r="C16" s="74" t="str">
        <x:v>否</x:v>
      </x:c>
      <x:c r="D16" s="74" t="str">
        <x:v>none</x:v>
      </x:c>
      <x:c r="E16" s="74" t="str">
        <x:v>占位等级</x:v>
      </x:c>
    </x:row>
    <x:row r="17">
      <x:c r="A17" s="74" t="str">
        <x:v>building.farm_field</x:v>
      </x:c>
      <x:c r="B17" s="76" t="n">
        <x:v>1</x:v>
      </x:c>
      <x:c r="C17" s="74" t="str">
        <x:v>是</x:v>
      </x:c>
      <x:c r="D17" s="74" t="str">
        <x:v>none</x:v>
      </x:c>
      <x:c r="E17" s="74" t="str">
        <x:v>施工完成进入 LV1</x:v>
      </x:c>
    </x:row>
    <x:row r="18">
      <x:c r="A18" s="74" t="str">
        <x:v>building.market</x:v>
      </x:c>
      <x:c r="B18" s="76" t="n">
        <x:v>1</x:v>
      </x:c>
      <x:c r="C18" s="74" t="str">
        <x:v>是</x:v>
      </x:c>
      <x:c r="D18" s="74" t="str">
        <x:v>none</x:v>
      </x:c>
      <x:c r="E18" s="74" t="str">
        <x:v>施工完成进入 LV1</x:v>
      </x:c>
    </x:row>
    <x:row r="19">
      <x:c r="A19" s="74" t="str">
        <x:v>building.road</x:v>
      </x:c>
      <x:c r="B19" s="76" t="n">
        <x:v>1</x:v>
      </x:c>
      <x:c r="C19" s="74" t="str">
        <x:v>是</x:v>
      </x:c>
      <x:c r="D19" s="74" t="str">
        <x:v>none</x:v>
      </x:c>
      <x:c r="E19" s="74" t="str">
        <x:v>施工完成进入 LV1</x:v>
      </x:c>
    </x:row>
    <x:row r="20">
      <x:c r="A20" s="74" t="str">
        <x:v>building.tree</x:v>
      </x:c>
      <x:c r="B20" s="76" t="n">
        <x:v>1</x:v>
      </x:c>
      <x:c r="C20" s="74" t="str">
        <x:v>是</x:v>
      </x:c>
      <x:c r="D20" s="74" t="str">
        <x:v>none</x:v>
      </x:c>
      <x:c r="E20" s="74" t="str">
        <x:v>施工完成进入 LV1</x:v>
      </x:c>
    </x:row>
    <x:row r="21">
      <x:c r="A21" s="45"/>
      <x:c r="B21" s="92"/>
      <x:c r="C21" s="45"/>
      <x:c r="D21" s="45"/>
      <x:c r="E21" s="45"/>
    </x:row>
    <x:row r="22">
      <x:c r="A22" s="45"/>
      <x:c r="B22" s="92"/>
      <x:c r="C22" s="45"/>
      <x:c r="D22" s="45"/>
      <x:c r="E22" s="45"/>
    </x:row>
    <x:row r="23">
      <x:c r="A23" s="45"/>
      <x:c r="B23" s="92"/>
      <x:c r="C23" s="45"/>
      <x:c r="D23" s="45"/>
      <x:c r="E23" s="45"/>
    </x:row>
    <x:row r="24">
      <x:c r="A24" s="45"/>
      <x:c r="B24" s="92"/>
      <x:c r="C24" s="45"/>
      <x:c r="D24" s="45"/>
      <x:c r="E24" s="45"/>
    </x:row>
  </x:sheetData>
  <x:mergeCells>
    <x:mergeCell ref="A1:E1"/>
    <x:mergeCell ref="A2:E2"/>
  </x:mergeCells>
  <x:dataValidations count="2">
    <x:dataValidation type="list" sqref="A5:A24">
      <x:formula1>"building.player_home,building.residential_house,building.lumber_cabin,building.fishing_hut,building.farm_field,building.market,building.road,building.tree"</x:formula1>
    </x:dataValidation>
    <x:dataValidation type="list" sqref="C5:C24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f2a3b3a1ea45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6" hidden="0" customWidth="1"/>
    <x:col min="4" max="4" width="10" hidden="0" customWidth="1"/>
    <x:col min="5" max="5" width="46" hidden="0" customWidth="1"/>
  </x:cols>
  <x:sheetData>
    <x:row r="1" ht="30" customHeight="1">
      <x:c r="A1" s="3" t="str">
        <x:v>升级消耗（目标等级口径）</x:v>
      </x:c>
      <x:c r="B1" s="3"/>
      <x:c r="C1" s="3"/>
      <x:c r="D1" s="3"/>
      <x:c r="E1" s="3"/>
    </x:row>
    <x:row r="2" ht="38" customHeight="1">
      <x:c r="A2" s="7" t="str">
        <x:v>费用写在升入的目标等级上。LV1 不允许写升级费用。</x:v>
      </x:c>
      <x:c r="B2" s="7"/>
      <x:c r="C2" s="7"/>
      <x:c r="D2" s="7"/>
      <x:c r="E2" s="7"/>
    </x:row>
    <x:row r="3">
      <x:c r="A3" s="45"/>
      <x:c r="B3" s="45"/>
      <x:c r="C3" s="45"/>
      <x:c r="D3" s="45"/>
      <x:c r="E3" s="45"/>
    </x:row>
    <x:row r="4" ht="30" customHeight="1">
      <x:c r="A4" s="66" t="str">
        <x:v>FamilyId</x:v>
      </x:c>
      <x:c r="B4" s="67" t="str">
        <x:v>目标Level</x:v>
      </x:c>
      <x:c r="C4" s="67" t="str">
        <x:v>ItemId</x:v>
      </x:c>
      <x:c r="D4" s="67" t="str">
        <x:v>数量</x:v>
      </x:c>
      <x:c r="E4" s="68" t="str">
        <x:v>说明</x:v>
      </x:c>
    </x:row>
    <x:row r="5">
      <x:c r="A5" s="73" t="str">
        <x:v>building.lumber_cabin</x:v>
      </x:c>
      <x:c r="B5" s="75" t="n">
        <x:v>2</x:v>
      </x:c>
      <x:c r="C5" s="75" t="str">
        <x:v>金币</x:v>
      </x:c>
      <x:c r="D5" s="75" t="n">
        <x:v>30</x:v>
      </x:c>
      <x:c r="E5" s="73" t="str">
        <x:v>需同时满足 technology.TN_3_1_启蒙</x:v>
      </x:c>
    </x:row>
    <x:row r="6">
      <x:c r="A6" s="45"/>
      <x:c r="B6" s="92"/>
      <x:c r="C6" s="92"/>
      <x:c r="D6" s="92"/>
      <x:c r="E6" s="45"/>
    </x:row>
    <x:row r="7">
      <x:c r="A7" s="45"/>
      <x:c r="B7" s="92"/>
      <x:c r="C7" s="92"/>
      <x:c r="D7" s="92"/>
      <x:c r="E7" s="45"/>
    </x:row>
    <x:row r="8">
      <x:c r="A8" s="45"/>
      <x:c r="B8" s="92"/>
      <x:c r="C8" s="92"/>
      <x:c r="D8" s="92"/>
      <x:c r="E8" s="45"/>
    </x:row>
    <x:row r="9">
      <x:c r="A9" s="45"/>
      <x:c r="B9" s="92"/>
      <x:c r="C9" s="92"/>
      <x:c r="D9" s="92"/>
      <x:c r="E9" s="45"/>
    </x:row>
    <x:row r="10">
      <x:c r="A10" s="45"/>
      <x:c r="B10" s="92"/>
      <x:c r="C10" s="92"/>
      <x:c r="D10" s="92"/>
      <x:c r="E10" s="45"/>
    </x:row>
    <x:row r="11">
      <x:c r="A11" s="45"/>
      <x:c r="B11" s="92"/>
      <x:c r="C11" s="92"/>
      <x:c r="D11" s="92"/>
      <x:c r="E11" s="45"/>
    </x:row>
    <x:row r="12">
      <x:c r="A12" s="45"/>
      <x:c r="B12" s="92"/>
      <x:c r="C12" s="92"/>
      <x:c r="D12" s="92"/>
      <x:c r="E12" s="45"/>
    </x:row>
    <x:row r="13">
      <x:c r="A13" s="45"/>
      <x:c r="B13" s="92"/>
      <x:c r="C13" s="92"/>
      <x:c r="D13" s="92"/>
      <x:c r="E13" s="45"/>
    </x:row>
    <x:row r="14">
      <x:c r="A14" s="45"/>
      <x:c r="B14" s="92"/>
      <x:c r="C14" s="92"/>
      <x:c r="D14" s="92"/>
      <x:c r="E14" s="45"/>
    </x:row>
    <x:row r="15">
      <x:c r="A15" s="45"/>
      <x:c r="B15" s="92"/>
      <x:c r="C15" s="92"/>
      <x:c r="D15" s="92"/>
      <x:c r="E15" s="45"/>
    </x:row>
    <x:row r="16">
      <x:c r="A16" s="45"/>
      <x:c r="B16" s="92"/>
      <x:c r="C16" s="92"/>
      <x:c r="D16" s="92"/>
      <x:c r="E16" s="45"/>
    </x:row>
    <x:row r="17">
      <x:c r="A17" s="45"/>
      <x:c r="B17" s="92"/>
      <x:c r="C17" s="92"/>
      <x:c r="D17" s="92"/>
      <x:c r="E17" s="45"/>
    </x:row>
    <x:row r="18">
      <x:c r="A18" s="45"/>
      <x:c r="B18" s="92"/>
      <x:c r="C18" s="92"/>
      <x:c r="D18" s="92"/>
      <x:c r="E18" s="45"/>
    </x:row>
    <x:row r="19">
      <x:c r="A19" s="45"/>
      <x:c r="B19" s="92"/>
      <x:c r="C19" s="92"/>
      <x:c r="D19" s="92"/>
      <x:c r="E19" s="45"/>
    </x:row>
    <x:row r="20">
      <x:c r="A20" s="45"/>
      <x:c r="B20" s="92"/>
      <x:c r="C20" s="92"/>
      <x:c r="D20" s="92"/>
      <x:c r="E20" s="45"/>
    </x:row>
    <x:row r="21">
      <x:c r="A21" s="45"/>
      <x:c r="B21" s="92"/>
      <x:c r="C21" s="92"/>
      <x:c r="D21" s="92"/>
      <x:c r="E21" s="45"/>
    </x:row>
    <x:row r="22">
      <x:c r="A22" s="45"/>
      <x:c r="B22" s="92"/>
      <x:c r="C22" s="92"/>
      <x:c r="D22" s="92"/>
      <x:c r="E22" s="45"/>
    </x:row>
    <x:row r="23">
      <x:c r="A23" s="45"/>
      <x:c r="B23" s="92"/>
      <x:c r="C23" s="92"/>
      <x:c r="D23" s="92"/>
      <x:c r="E23" s="45"/>
    </x:row>
    <x:row r="24">
      <x:c r="A24" s="45"/>
      <x:c r="B24" s="92"/>
      <x:c r="C24" s="92"/>
      <x:c r="D24" s="92"/>
      <x:c r="E24" s="45"/>
    </x:row>
  </x:sheetData>
  <x:mergeCells>
    <x:mergeCell ref="A1:E1"/>
    <x:mergeCell ref="A2:E2"/>
  </x:mergeCells>
  <x:dataValidations count="2">
    <x:dataValidation type="list" sqref="A5:A24">
      <x:formula1>"building.player_home,building.residential_house,building.lumber_cabin,building.fishing_hut,building.farm_field,building.market,building.road,building.tree"</x:formula1>
    </x:dataValidation>
    <x:dataValidation type="list" sqref="C5:C24">
      <x:formula1>"金币,泥土,石头,原木,木头,树苗,蔬菜,鱼,黄金鱼"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98a891640043d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" hidden="0" customWidth="1"/>
    <x:col min="3" max="3" width="16" hidden="0" customWidth="1"/>
    <x:col min="4" max="4" width="18" hidden="0" customWidth="1"/>
  </x:cols>
  <x:sheetData>
    <x:row r="1" ht="30" customHeight="1">
      <x:c r="A1" s="3" t="str">
        <x:v>等级配置：固定人口</x:v>
      </x:c>
      <x:c r="B1" s="3"/>
      <x:c r="C1" s="3"/>
      <x:c r="D1" s="3"/>
    </x:row>
    <x:row r="2" ht="38" customHeight="1">
      <x:c r="A2" s="7" t="str">
        <x:v>对应 PlayerHomeLevelConfiguration；只允许拥有 population.fixed 模块的家族填写。</x:v>
      </x:c>
      <x:c r="B2" s="7"/>
      <x:c r="C2" s="7"/>
      <x:c r="D2" s="7"/>
    </x:row>
    <x:row r="3">
      <x:c r="A3" s="45"/>
      <x:c r="B3" s="45"/>
      <x:c r="C3" s="45"/>
      <x:c r="D3" s="45"/>
    </x:row>
    <x:row r="4" ht="30" customHeight="1">
      <x:c r="A4" s="66" t="str">
        <x:v>FamilyId</x:v>
      </x:c>
      <x:c r="B4" s="67" t="str">
        <x:v>Level</x:v>
      </x:c>
      <x:c r="C4" s="67" t="str">
        <x:v>提供人口</x:v>
      </x:c>
      <x:c r="D4" s="68" t="str">
        <x:v>校验</x:v>
      </x:c>
    </x:row>
    <x:row r="5">
      <x:c r="A5" s="73" t="str">
        <x:v>building.player_home</x:v>
      </x:c>
      <x:c r="B5" s="75" t="n">
        <x:v>1</x:v>
      </x:c>
      <x:c r="C5" s="75" t="n">
        <x:v>10</x:v>
      </x:c>
      <x:c r="D5" s="78" t="str">
        <x:f>IF(COUNTIFS('运营等级'!$A$5:$A$24,A5,'运营等级'!$B$5:$B$24,B5)=0,"错误：缺少等级","通过")</x:f>
        <x:v>通过</x:v>
      </x:c>
    </x:row>
    <x:row r="6">
      <x:c r="A6" s="74" t="str">
        <x:v>building.player_home</x:v>
      </x:c>
      <x:c r="B6" s="76" t="n">
        <x:v>2</x:v>
      </x:c>
      <x:c r="C6" s="76" t="n">
        <x:v>10</x:v>
      </x:c>
      <x:c r="D6" s="79" t="str">
        <x:f>IF(COUNTIFS('运营等级'!$A$5:$A$24,A6,'运营等级'!$B$5:$B$24,B6)=0,"错误：缺少等级","通过")</x:f>
        <x:v>通过</x:v>
      </x:c>
    </x:row>
    <x:row r="7">
      <x:c r="A7" s="74" t="str">
        <x:v>building.player_home</x:v>
      </x:c>
      <x:c r="B7" s="76" t="n">
        <x:v>3</x:v>
      </x:c>
      <x:c r="C7" s="76" t="n">
        <x:v>10</x:v>
      </x:c>
      <x:c r="D7" s="79" t="str">
        <x:f>IF(COUNTIFS('运营等级'!$A$5:$A$24,A7,'运营等级'!$B$5:$B$24,B7)=0,"错误：缺少等级","通过")</x:f>
        <x:v>通过</x:v>
      </x:c>
    </x:row>
    <x:row r="8">
      <x:c r="A8" s="74" t="str">
        <x:v>building.player_home</x:v>
      </x:c>
      <x:c r="B8" s="76" t="n">
        <x:v>4</x:v>
      </x:c>
      <x:c r="C8" s="76" t="n">
        <x:v>10</x:v>
      </x:c>
      <x:c r="D8" s="79" t="str">
        <x:f>IF(COUNTIFS('运营等级'!$A$5:$A$24,A8,'运营等级'!$B$5:$B$24,B8)=0,"错误：缺少等级","通过")</x:f>
        <x:v>通过</x:v>
      </x:c>
    </x:row>
    <x:row r="9">
      <x:c r="A9" s="45"/>
      <x:c r="B9" s="92"/>
      <x:c r="C9" s="92"/>
      <x:c r="D9" s="45"/>
    </x:row>
    <x:row r="10">
      <x:c r="A10" s="45"/>
      <x:c r="B10" s="92"/>
      <x:c r="C10" s="92"/>
      <x:c r="D10" s="45"/>
    </x:row>
    <x:row r="11">
      <x:c r="A11" s="45"/>
      <x:c r="B11" s="92"/>
      <x:c r="C11" s="92"/>
      <x:c r="D11" s="45"/>
    </x:row>
    <x:row r="12">
      <x:c r="A12" s="45"/>
      <x:c r="B12" s="92"/>
      <x:c r="C12" s="92"/>
      <x:c r="D12" s="45"/>
    </x:row>
    <x:row r="13">
      <x:c r="A13" s="45"/>
      <x:c r="B13" s="92"/>
      <x:c r="C13" s="92"/>
      <x:c r="D13" s="45"/>
    </x:row>
    <x:row r="14">
      <x:c r="A14" s="45"/>
      <x:c r="B14" s="92"/>
      <x:c r="C14" s="92"/>
      <x:c r="D14" s="45"/>
    </x:row>
    <x:row r="15">
      <x:c r="A15" s="45"/>
      <x:c r="B15" s="92"/>
      <x:c r="C15" s="92"/>
      <x:c r="D15" s="45"/>
    </x:row>
    <x:row r="16">
      <x:c r="A16" s="45"/>
      <x:c r="B16" s="92"/>
      <x:c r="C16" s="92"/>
      <x:c r="D16" s="45"/>
    </x:row>
    <x:row r="17">
      <x:c r="A17" s="45"/>
      <x:c r="B17" s="92"/>
      <x:c r="C17" s="92"/>
      <x:c r="D17" s="45"/>
    </x:row>
    <x:row r="18">
      <x:c r="A18" s="45"/>
      <x:c r="B18" s="92"/>
      <x:c r="C18" s="92"/>
      <x:c r="D18" s="45"/>
    </x:row>
    <x:row r="19">
      <x:c r="A19" s="45"/>
      <x:c r="B19" s="92"/>
      <x:c r="C19" s="92"/>
      <x:c r="D19" s="45"/>
    </x:row>
    <x:row r="20">
      <x:c r="A20" s="45"/>
      <x:c r="B20" s="92"/>
      <x:c r="C20" s="92"/>
      <x:c r="D20" s="45"/>
    </x:row>
    <x:row r="21">
      <x:c r="A21" s="45"/>
      <x:c r="B21" s="92"/>
      <x:c r="C21" s="92"/>
      <x:c r="D21" s="45"/>
    </x:row>
    <x:row r="22">
      <x:c r="A22" s="45"/>
      <x:c r="B22" s="92"/>
      <x:c r="C22" s="92"/>
      <x:c r="D22" s="45"/>
    </x:row>
    <x:row r="23">
      <x:c r="A23" s="45"/>
      <x:c r="B23" s="92"/>
      <x:c r="C23" s="92"/>
      <x:c r="D23" s="45"/>
    </x:row>
    <x:row r="24">
      <x:c r="A24" s="45"/>
      <x:c r="B24" s="92"/>
      <x:c r="C24" s="92"/>
      <x:c r="D24" s="45"/>
    </x:row>
  </x:sheetData>
  <x:mergeCells>
    <x:mergeCell ref="A1:D1"/>
    <x:mergeCell ref="A2:D2"/>
  </x:mergeCells>
  <x:conditionalFormatting sqref="D5:D8">
    <x:cfRule type="containsText" dxfId="0" priority="1" operator="containsText" text="通过"/>
    <x:cfRule type="containsText" dxfId="1" priority="2" operator="containsText" text="待"/>
    <x:cfRule type="containsText" dxfId="2" priority="3" operator="containsText" text="错误"/>
  </x:conditionalFormatting>
  <x:dataValidations count="1">
    <x:dataValidation type="list" sqref="A5:A24">
      <x:formula1>"building.player_home,building.residential_house,building.lumber_cabin,building.fishing_hut,building.farm_field,building.market,building.road,building.tree"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c36f5286ee4d2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" hidden="0" customWidth="1"/>
    <x:col min="3" max="3" width="16" hidden="0" customWidth="1"/>
    <x:col min="4" max="4" width="18" hidden="0" customWidth="1"/>
  </x:cols>
  <x:sheetData>
    <x:row r="1" ht="30" customHeight="1">
      <x:c r="A1" s="3" t="str">
        <x:v>等级配置：库存容量</x:v>
      </x:c>
      <x:c r="B1" s="3"/>
      <x:c r="C1" s="3"/>
      <x:c r="D1" s="3"/>
    </x:row>
    <x:row r="2" ht="38" customHeight="1">
      <x:c r="A2" s="7" t="str">
        <x:v>对应 BuildingInventoryLevelConfiguration；单位为库存格。</x:v>
      </x:c>
      <x:c r="B2" s="7"/>
      <x:c r="C2" s="7"/>
      <x:c r="D2" s="7"/>
    </x:row>
    <x:row r="3">
      <x:c r="A3" s="45"/>
      <x:c r="B3" s="45"/>
      <x:c r="C3" s="45"/>
      <x:c r="D3" s="45"/>
    </x:row>
    <x:row r="4" ht="30" customHeight="1">
      <x:c r="A4" s="66" t="str">
        <x:v>FamilyId</x:v>
      </x:c>
      <x:c r="B4" s="67" t="str">
        <x:v>Level</x:v>
      </x:c>
      <x:c r="C4" s="67" t="str">
        <x:v>提供库存格</x:v>
      </x:c>
      <x:c r="D4" s="68" t="str">
        <x:v>校验</x:v>
      </x:c>
    </x:row>
    <x:row r="5">
      <x:c r="A5" s="73" t="str">
        <x:v>building.player_home</x:v>
      </x:c>
      <x:c r="B5" s="75" t="n">
        <x:v>1</x:v>
      </x:c>
      <x:c r="C5" s="75" t="n">
        <x:v>5</x:v>
      </x:c>
      <x:c r="D5" s="78" t="str">
        <x:f>IF(COUNTIFS('运营等级'!$A$5:$A$24,A5,'运营等级'!$B$5:$B$24,B5)=0,"错误：缺少等级","通过")</x:f>
        <x:v>通过</x:v>
      </x:c>
    </x:row>
    <x:row r="6">
      <x:c r="A6" s="74" t="str">
        <x:v>building.player_home</x:v>
      </x:c>
      <x:c r="B6" s="76" t="n">
        <x:v>2</x:v>
      </x:c>
      <x:c r="C6" s="76" t="n">
        <x:v>5</x:v>
      </x:c>
      <x:c r="D6" s="79" t="str">
        <x:f>IF(COUNTIFS('运营等级'!$A$5:$A$24,A6,'运营等级'!$B$5:$B$24,B6)=0,"错误：缺少等级","通过")</x:f>
        <x:v>通过</x:v>
      </x:c>
    </x:row>
    <x:row r="7">
      <x:c r="A7" s="74" t="str">
        <x:v>building.player_home</x:v>
      </x:c>
      <x:c r="B7" s="76" t="n">
        <x:v>3</x:v>
      </x:c>
      <x:c r="C7" s="76" t="n">
        <x:v>5</x:v>
      </x:c>
      <x:c r="D7" s="79" t="str">
        <x:f>IF(COUNTIFS('运营等级'!$A$5:$A$24,A7,'运营等级'!$B$5:$B$24,B7)=0,"错误：缺少等级","通过")</x:f>
        <x:v>通过</x:v>
      </x:c>
    </x:row>
    <x:row r="8">
      <x:c r="A8" s="74" t="str">
        <x:v>building.player_home</x:v>
      </x:c>
      <x:c r="B8" s="76" t="n">
        <x:v>4</x:v>
      </x:c>
      <x:c r="C8" s="76" t="n">
        <x:v>5</x:v>
      </x:c>
      <x:c r="D8" s="79" t="str">
        <x:f>IF(COUNTIFS('运营等级'!$A$5:$A$24,A8,'运营等级'!$B$5:$B$24,B8)=0,"错误：缺少等级","通过")</x:f>
        <x:v>通过</x:v>
      </x:c>
    </x:row>
    <x:row r="9">
      <x:c r="A9" s="45"/>
      <x:c r="B9" s="92"/>
      <x:c r="C9" s="92"/>
      <x:c r="D9" s="45"/>
    </x:row>
    <x:row r="10">
      <x:c r="A10" s="45"/>
      <x:c r="B10" s="92"/>
      <x:c r="C10" s="92"/>
      <x:c r="D10" s="45"/>
    </x:row>
    <x:row r="11">
      <x:c r="A11" s="45"/>
      <x:c r="B11" s="92"/>
      <x:c r="C11" s="92"/>
      <x:c r="D11" s="45"/>
    </x:row>
    <x:row r="12">
      <x:c r="A12" s="45"/>
      <x:c r="B12" s="92"/>
      <x:c r="C12" s="92"/>
      <x:c r="D12" s="45"/>
    </x:row>
    <x:row r="13">
      <x:c r="A13" s="45"/>
      <x:c r="B13" s="92"/>
      <x:c r="C13" s="92"/>
      <x:c r="D13" s="45"/>
    </x:row>
    <x:row r="14">
      <x:c r="A14" s="45"/>
      <x:c r="B14" s="92"/>
      <x:c r="C14" s="92"/>
      <x:c r="D14" s="45"/>
    </x:row>
    <x:row r="15">
      <x:c r="A15" s="45"/>
      <x:c r="B15" s="92"/>
      <x:c r="C15" s="92"/>
      <x:c r="D15" s="45"/>
    </x:row>
    <x:row r="16">
      <x:c r="A16" s="45"/>
      <x:c r="B16" s="92"/>
      <x:c r="C16" s="92"/>
      <x:c r="D16" s="45"/>
    </x:row>
    <x:row r="17">
      <x:c r="A17" s="45"/>
      <x:c r="B17" s="92"/>
      <x:c r="C17" s="92"/>
      <x:c r="D17" s="45"/>
    </x:row>
    <x:row r="18">
      <x:c r="A18" s="45"/>
      <x:c r="B18" s="92"/>
      <x:c r="C18" s="92"/>
      <x:c r="D18" s="45"/>
    </x:row>
    <x:row r="19">
      <x:c r="A19" s="45"/>
      <x:c r="B19" s="92"/>
      <x:c r="C19" s="92"/>
      <x:c r="D19" s="45"/>
    </x:row>
    <x:row r="20">
      <x:c r="A20" s="45"/>
      <x:c r="B20" s="92"/>
      <x:c r="C20" s="92"/>
      <x:c r="D20" s="45"/>
    </x:row>
    <x:row r="21">
      <x:c r="A21" s="45"/>
      <x:c r="B21" s="92"/>
      <x:c r="C21" s="92"/>
      <x:c r="D21" s="45"/>
    </x:row>
    <x:row r="22">
      <x:c r="A22" s="45"/>
      <x:c r="B22" s="92"/>
      <x:c r="C22" s="92"/>
      <x:c r="D22" s="45"/>
    </x:row>
    <x:row r="23">
      <x:c r="A23" s="45"/>
      <x:c r="B23" s="92"/>
      <x:c r="C23" s="92"/>
      <x:c r="D23" s="45"/>
    </x:row>
    <x:row r="24">
      <x:c r="A24" s="45"/>
      <x:c r="B24" s="92"/>
      <x:c r="C24" s="92"/>
      <x:c r="D24" s="45"/>
    </x:row>
  </x:sheetData>
  <x:mergeCells>
    <x:mergeCell ref="A1:D1"/>
    <x:mergeCell ref="A2:D2"/>
  </x:mergeCells>
  <x:conditionalFormatting sqref="D5:D8">
    <x:cfRule type="containsText" dxfId="3" priority="1" operator="containsText" text="通过"/>
    <x:cfRule type="containsText" dxfId="4" priority="2" operator="containsText" text="待"/>
    <x:cfRule type="containsText" dxfId="5" priority="3" operator="containsText" text="错误"/>
  </x:conditionalFormatting>
  <x:dataValidations count="1">
    <x:dataValidation type="list" sqref="A5:A24">
      <x:formula1>"building.player_home,building.residential_house,building.lumber_cabin,building.fishing_hut,building.farm_field,building.market,building.road,building.tree"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bfa8e5f524497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" hidden="0" customWidth="1"/>
    <x:col min="3" max="3" width="16" hidden="0" customWidth="1"/>
    <x:col min="4" max="4" width="18" hidden="0" customWidth="1"/>
  </x:cols>
  <x:sheetData>
    <x:row r="1" ht="30" customHeight="1">
      <x:c r="A1" s="3" t="str">
        <x:v>等级配置：科技点</x:v>
      </x:c>
      <x:c r="B1" s="3"/>
      <x:c r="C1" s="3"/>
      <x:c r="D1" s="3"/>
    </x:row>
    <x:row r="2" ht="38" customHeight="1">
      <x:c r="A2" s="7" t="str">
        <x:v>对应 BuildingTechnologyPointLevelConfiguration；每个成功回合注入当前研究。</x:v>
      </x:c>
      <x:c r="B2" s="7"/>
      <x:c r="C2" s="7"/>
      <x:c r="D2" s="7"/>
    </x:row>
    <x:row r="3">
      <x:c r="A3" s="45"/>
      <x:c r="B3" s="45"/>
      <x:c r="C3" s="45"/>
      <x:c r="D3" s="45"/>
    </x:row>
    <x:row r="4" ht="30" customHeight="1">
      <x:c r="A4" s="66" t="str">
        <x:v>FamilyId</x:v>
      </x:c>
      <x:c r="B4" s="67" t="str">
        <x:v>Level</x:v>
      </x:c>
      <x:c r="C4" s="67" t="str">
        <x:v>科技点/回合</x:v>
      </x:c>
      <x:c r="D4" s="68" t="str">
        <x:v>校验</x:v>
      </x:c>
    </x:row>
    <x:row r="5">
      <x:c r="A5" s="73" t="str">
        <x:v>building.player_home</x:v>
      </x:c>
      <x:c r="B5" s="75" t="n">
        <x:v>1</x:v>
      </x:c>
      <x:c r="C5" s="75" t="n">
        <x:v>1</x:v>
      </x:c>
      <x:c r="D5" s="78" t="str">
        <x:f>IF(COUNTIFS('运营等级'!$A$5:$A$24,A5,'运营等级'!$B$5:$B$24,B5)=0,"错误：缺少等级","通过")</x:f>
        <x:v>通过</x:v>
      </x:c>
    </x:row>
    <x:row r="6">
      <x:c r="A6" s="74" t="str">
        <x:v>building.player_home</x:v>
      </x:c>
      <x:c r="B6" s="76" t="n">
        <x:v>2</x:v>
      </x:c>
      <x:c r="C6" s="76" t="n">
        <x:v>1</x:v>
      </x:c>
      <x:c r="D6" s="79" t="str">
        <x:f>IF(COUNTIFS('运营等级'!$A$5:$A$24,A6,'运营等级'!$B$5:$B$24,B6)=0,"错误：缺少等级","通过")</x:f>
        <x:v>通过</x:v>
      </x:c>
    </x:row>
    <x:row r="7">
      <x:c r="A7" s="74" t="str">
        <x:v>building.player_home</x:v>
      </x:c>
      <x:c r="B7" s="76" t="n">
        <x:v>3</x:v>
      </x:c>
      <x:c r="C7" s="76" t="n">
        <x:v>1</x:v>
      </x:c>
      <x:c r="D7" s="79" t="str">
        <x:f>IF(COUNTIFS('运营等级'!$A$5:$A$24,A7,'运营等级'!$B$5:$B$24,B7)=0,"错误：缺少等级","通过")</x:f>
        <x:v>通过</x:v>
      </x:c>
    </x:row>
    <x:row r="8">
      <x:c r="A8" s="74" t="str">
        <x:v>building.player_home</x:v>
      </x:c>
      <x:c r="B8" s="76" t="n">
        <x:v>4</x:v>
      </x:c>
      <x:c r="C8" s="76" t="n">
        <x:v>1</x:v>
      </x:c>
      <x:c r="D8" s="79" t="str">
        <x:f>IF(COUNTIFS('运营等级'!$A$5:$A$24,A8,'运营等级'!$B$5:$B$24,B8)=0,"错误：缺少等级","通过")</x:f>
        <x:v>通过</x:v>
      </x:c>
    </x:row>
    <x:row r="9">
      <x:c r="A9" s="45"/>
      <x:c r="B9" s="92"/>
      <x:c r="C9" s="92"/>
      <x:c r="D9" s="45"/>
    </x:row>
    <x:row r="10">
      <x:c r="A10" s="45"/>
      <x:c r="B10" s="92"/>
      <x:c r="C10" s="92"/>
      <x:c r="D10" s="45"/>
    </x:row>
    <x:row r="11">
      <x:c r="A11" s="45"/>
      <x:c r="B11" s="92"/>
      <x:c r="C11" s="92"/>
      <x:c r="D11" s="45"/>
    </x:row>
    <x:row r="12">
      <x:c r="A12" s="45"/>
      <x:c r="B12" s="92"/>
      <x:c r="C12" s="92"/>
      <x:c r="D12" s="45"/>
    </x:row>
    <x:row r="13">
      <x:c r="A13" s="45"/>
      <x:c r="B13" s="92"/>
      <x:c r="C13" s="92"/>
      <x:c r="D13" s="45"/>
    </x:row>
    <x:row r="14">
      <x:c r="A14" s="45"/>
      <x:c r="B14" s="92"/>
      <x:c r="C14" s="92"/>
      <x:c r="D14" s="45"/>
    </x:row>
    <x:row r="15">
      <x:c r="A15" s="45"/>
      <x:c r="B15" s="92"/>
      <x:c r="C15" s="92"/>
      <x:c r="D15" s="45"/>
    </x:row>
    <x:row r="16">
      <x:c r="A16" s="45"/>
      <x:c r="B16" s="92"/>
      <x:c r="C16" s="92"/>
      <x:c r="D16" s="45"/>
    </x:row>
    <x:row r="17">
      <x:c r="A17" s="45"/>
      <x:c r="B17" s="92"/>
      <x:c r="C17" s="92"/>
      <x:c r="D17" s="45"/>
    </x:row>
    <x:row r="18">
      <x:c r="A18" s="45"/>
      <x:c r="B18" s="92"/>
      <x:c r="C18" s="92"/>
      <x:c r="D18" s="45"/>
    </x:row>
    <x:row r="19">
      <x:c r="A19" s="45"/>
      <x:c r="B19" s="92"/>
      <x:c r="C19" s="92"/>
      <x:c r="D19" s="45"/>
    </x:row>
    <x:row r="20">
      <x:c r="A20" s="45"/>
      <x:c r="B20" s="92"/>
      <x:c r="C20" s="92"/>
      <x:c r="D20" s="45"/>
    </x:row>
    <x:row r="21">
      <x:c r="A21" s="45"/>
      <x:c r="B21" s="92"/>
      <x:c r="C21" s="92"/>
      <x:c r="D21" s="45"/>
    </x:row>
    <x:row r="22">
      <x:c r="A22" s="45"/>
      <x:c r="B22" s="92"/>
      <x:c r="C22" s="92"/>
      <x:c r="D22" s="45"/>
    </x:row>
    <x:row r="23">
      <x:c r="A23" s="45"/>
      <x:c r="B23" s="92"/>
      <x:c r="C23" s="92"/>
      <x:c r="D23" s="45"/>
    </x:row>
    <x:row r="24">
      <x:c r="A24" s="45"/>
      <x:c r="B24" s="92"/>
      <x:c r="C24" s="92"/>
      <x:c r="D24" s="45"/>
    </x:row>
  </x:sheetData>
  <x:mergeCells>
    <x:mergeCell ref="A1:D1"/>
    <x:mergeCell ref="A2:D2"/>
  </x:mergeCells>
  <x:conditionalFormatting sqref="D5:D8">
    <x:cfRule type="containsText" dxfId="6" priority="1" operator="containsText" text="通过"/>
    <x:cfRule type="containsText" dxfId="7" priority="2" operator="containsText" text="待"/>
    <x:cfRule type="containsText" dxfId="8" priority="3" operator="containsText" text="错误"/>
  </x:conditionalFormatting>
  <x:dataValidations count="1">
    <x:dataValidation type="list" sqref="A5:A24">
      <x:formula1>"building.player_home,building.residential_house,building.lumber_cabin,building.fishing_hut,building.farm_field,building.market,building.road,building.tree"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5513cc7e914fd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" hidden="0" customWidth="1"/>
    <x:col min="3" max="3" width="11" hidden="0" customWidth="1"/>
    <x:col min="4" max="4" width="11" hidden="0" customWidth="1"/>
    <x:col min="5" max="5" width="15" hidden="0" customWidth="1"/>
    <x:col min="6" max="6" width="11" hidden="0" customWidth="1"/>
    <x:col min="7" max="7" width="15" hidden="0" customWidth="1"/>
    <x:col min="8" max="8" width="15" hidden="0" customWidth="1"/>
    <x:col min="9" max="9" width="11" hidden="0" customWidth="1"/>
    <x:col min="10" max="10" width="18" hidden="0" customWidth="1"/>
    <x:col min="11" max="11" width="18" hidden="0" customWidth="1"/>
  </x:cols>
  <x:sheetData>
    <x:row r="1" ht="30" customHeight="1">
      <x:c r="A1" s="3" t="str">
        <x:v>等级配置：居民运营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8" customHeight="1">
      <x:c r="A2" s="7" t="str">
        <x:v>对应 ResidentialHousingLevelConfiguration。食物按当前人口每回合消耗，满人口食物/回合是公式提示，不参与导入。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</x:row>
    <x:row r="4" ht="30" customHeight="1">
      <x:c r="A4" s="66" t="str">
        <x:v>FamilyId</x:v>
      </x:c>
      <x:c r="B4" s="67" t="str">
        <x:v>Level</x:v>
      </x:c>
      <x:c r="C4" s="67" t="str">
        <x:v>初始人口</x:v>
      </x:c>
      <x:c r="D4" s="67" t="str">
        <x:v>人口上限</x:v>
      </x:c>
      <x:c r="E4" s="67" t="str">
        <x:v>FoodItemId</x:v>
      </x:c>
      <x:c r="F4" s="67" t="str">
        <x:v>增长回合</x:v>
      </x:c>
      <x:c r="G4" s="67" t="str">
        <x:v>失败衰减阈值</x:v>
      </x:c>
      <x:c r="H4" s="67" t="str">
        <x:v>TaxItemId</x:v>
      </x:c>
      <x:c r="I4" s="67" t="str">
        <x:v>税收回合</x:v>
      </x:c>
      <x:c r="J4" s="67" t="str">
        <x:v>满人口食物/回合</x:v>
      </x:c>
      <x:c r="K4" s="68" t="str">
        <x:v>校验</x:v>
      </x:c>
    </x:row>
    <x:row r="5">
      <x:c r="A5" s="73" t="str">
        <x:v>building.residential_house</x:v>
      </x:c>
      <x:c r="B5" s="75" t="n">
        <x:v>1</x:v>
      </x:c>
      <x:c r="C5" s="75" t="n">
        <x:v>2</x:v>
      </x:c>
      <x:c r="D5" s="75" t="n">
        <x:v>5</x:v>
      </x:c>
      <x:c r="E5" s="75" t="str">
        <x:v>蔬菜</x:v>
      </x:c>
      <x:c r="F5" s="75" t="n">
        <x:v>3</x:v>
      </x:c>
      <x:c r="G5" s="75" t="n">
        <x:v>3</x:v>
      </x:c>
      <x:c r="H5" s="75" t="str">
        <x:v>金币</x:v>
      </x:c>
      <x:c r="I5" s="75" t="n">
        <x:v>5</x:v>
      </x:c>
      <x:c r="J5" s="80" t="n">
        <x:f>D5</x:f>
        <x:v>5</x:v>
      </x:c>
      <x:c r="K5" s="78" t="str">
        <x:f>IF(D5&lt;C5,"错误：人口上限","通过")</x:f>
        <x:v>通过</x:v>
      </x:c>
    </x:row>
    <x:row r="6">
      <x:c r="A6" s="74" t="str">
        <x:v>building.residential_house</x:v>
      </x:c>
      <x:c r="B6" s="76" t="n">
        <x:v>2</x:v>
      </x:c>
      <x:c r="C6" s="76" t="n">
        <x:v>2</x:v>
      </x:c>
      <x:c r="D6" s="76" t="n">
        <x:v>5</x:v>
      </x:c>
      <x:c r="E6" s="76" t="str">
        <x:v>蔬菜</x:v>
      </x:c>
      <x:c r="F6" s="76" t="n">
        <x:v>3</x:v>
      </x:c>
      <x:c r="G6" s="76" t="n">
        <x:v>3</x:v>
      </x:c>
      <x:c r="H6" s="76" t="str">
        <x:v>金币</x:v>
      </x:c>
      <x:c r="I6" s="76" t="n">
        <x:v>5</x:v>
      </x:c>
      <x:c r="J6" s="81" t="n">
        <x:f>D6</x:f>
        <x:v>5</x:v>
      </x:c>
      <x:c r="K6" s="79" t="str">
        <x:f>IF(D6&lt;C6,"错误：人口上限","通过")</x:f>
        <x:v>通过</x:v>
      </x:c>
    </x:row>
    <x:row r="7">
      <x:c r="A7" s="74" t="str">
        <x:v>building.residential_house</x:v>
      </x:c>
      <x:c r="B7" s="76" t="n">
        <x:v>3</x:v>
      </x:c>
      <x:c r="C7" s="76" t="n">
        <x:v>2</x:v>
      </x:c>
      <x:c r="D7" s="76" t="n">
        <x:v>5</x:v>
      </x:c>
      <x:c r="E7" s="76" t="str">
        <x:v>蔬菜</x:v>
      </x:c>
      <x:c r="F7" s="76" t="n">
        <x:v>3</x:v>
      </x:c>
      <x:c r="G7" s="76" t="n">
        <x:v>3</x:v>
      </x:c>
      <x:c r="H7" s="76" t="str">
        <x:v>金币</x:v>
      </x:c>
      <x:c r="I7" s="76" t="n">
        <x:v>5</x:v>
      </x:c>
      <x:c r="J7" s="81" t="n">
        <x:f>D7</x:f>
        <x:v>5</x:v>
      </x:c>
      <x:c r="K7" s="79" t="str">
        <x:f>IF(D7&lt;C7,"错误：人口上限","通过")</x:f>
        <x:v>通过</x:v>
      </x:c>
    </x:row>
    <x:row r="8">
      <x:c r="A8" s="74" t="str">
        <x:v>building.residential_house</x:v>
      </x:c>
      <x:c r="B8" s="76" t="n">
        <x:v>4</x:v>
      </x:c>
      <x:c r="C8" s="76" t="n">
        <x:v>2</x:v>
      </x:c>
      <x:c r="D8" s="76" t="n">
        <x:v>5</x:v>
      </x:c>
      <x:c r="E8" s="76" t="str">
        <x:v>蔬菜</x:v>
      </x:c>
      <x:c r="F8" s="76" t="n">
        <x:v>3</x:v>
      </x:c>
      <x:c r="G8" s="76" t="n">
        <x:v>3</x:v>
      </x:c>
      <x:c r="H8" s="76" t="str">
        <x:v>金币</x:v>
      </x:c>
      <x:c r="I8" s="76" t="n">
        <x:v>5</x:v>
      </x:c>
      <x:c r="J8" s="81" t="n">
        <x:f>D8</x:f>
        <x:v>5</x:v>
      </x:c>
      <x:c r="K8" s="79" t="str">
        <x:f>IF(D8&lt;C8,"错误：人口上限","通过")</x:f>
        <x:v>通过</x:v>
      </x:c>
    </x:row>
    <x:row r="9">
      <x:c r="A9" s="45"/>
      <x:c r="B9" s="92"/>
      <x:c r="C9" s="92"/>
      <x:c r="D9" s="92"/>
      <x:c r="E9" s="92"/>
      <x:c r="F9" s="92"/>
      <x:c r="G9" s="92"/>
      <x:c r="H9" s="92"/>
      <x:c r="I9" s="92"/>
      <x:c r="J9" s="92"/>
      <x:c r="K9" s="45"/>
    </x:row>
    <x:row r="10">
      <x:c r="A10" s="45"/>
      <x:c r="B10" s="92"/>
      <x:c r="C10" s="92"/>
      <x:c r="D10" s="92"/>
      <x:c r="E10" s="92"/>
      <x:c r="F10" s="92"/>
      <x:c r="G10" s="92"/>
      <x:c r="H10" s="92"/>
      <x:c r="I10" s="92"/>
      <x:c r="J10" s="92"/>
      <x:c r="K10" s="45"/>
    </x:row>
    <x:row r="11">
      <x:c r="A11" s="45"/>
      <x:c r="B11" s="92"/>
      <x:c r="C11" s="92"/>
      <x:c r="D11" s="92"/>
      <x:c r="E11" s="92"/>
      <x:c r="F11" s="92"/>
      <x:c r="G11" s="92"/>
      <x:c r="H11" s="92"/>
      <x:c r="I11" s="92"/>
      <x:c r="J11" s="92"/>
      <x:c r="K11" s="45"/>
    </x:row>
    <x:row r="12">
      <x:c r="A12" s="45"/>
      <x:c r="B12" s="92"/>
      <x:c r="C12" s="92"/>
      <x:c r="D12" s="92"/>
      <x:c r="E12" s="92"/>
      <x:c r="F12" s="92"/>
      <x:c r="G12" s="92"/>
      <x:c r="H12" s="92"/>
      <x:c r="I12" s="92"/>
      <x:c r="J12" s="92"/>
      <x:c r="K12" s="45"/>
    </x:row>
    <x:row r="13">
      <x:c r="A13" s="45"/>
      <x:c r="B13" s="92"/>
      <x:c r="C13" s="92"/>
      <x:c r="D13" s="92"/>
      <x:c r="E13" s="92"/>
      <x:c r="F13" s="92"/>
      <x:c r="G13" s="92"/>
      <x:c r="H13" s="92"/>
      <x:c r="I13" s="92"/>
      <x:c r="J13" s="92"/>
      <x:c r="K13" s="45"/>
    </x:row>
    <x:row r="14">
      <x:c r="A14" s="45"/>
      <x:c r="B14" s="92"/>
      <x:c r="C14" s="92"/>
      <x:c r="D14" s="92"/>
      <x:c r="E14" s="92"/>
      <x:c r="F14" s="92"/>
      <x:c r="G14" s="92"/>
      <x:c r="H14" s="92"/>
      <x:c r="I14" s="92"/>
      <x:c r="J14" s="92"/>
      <x:c r="K14" s="45"/>
    </x:row>
    <x:row r="15">
      <x:c r="A15" s="45"/>
      <x:c r="B15" s="92"/>
      <x:c r="C15" s="92"/>
      <x:c r="D15" s="92"/>
      <x:c r="E15" s="92"/>
      <x:c r="F15" s="92"/>
      <x:c r="G15" s="92"/>
      <x:c r="H15" s="92"/>
      <x:c r="I15" s="92"/>
      <x:c r="J15" s="92"/>
      <x:c r="K15" s="45"/>
    </x:row>
    <x:row r="16">
      <x:c r="A16" s="45"/>
      <x:c r="B16" s="92"/>
      <x:c r="C16" s="92"/>
      <x:c r="D16" s="92"/>
      <x:c r="E16" s="92"/>
      <x:c r="F16" s="92"/>
      <x:c r="G16" s="92"/>
      <x:c r="H16" s="92"/>
      <x:c r="I16" s="92"/>
      <x:c r="J16" s="92"/>
      <x:c r="K16" s="45"/>
    </x:row>
    <x:row r="17">
      <x:c r="A17" s="45"/>
      <x:c r="B17" s="92"/>
      <x:c r="C17" s="92"/>
      <x:c r="D17" s="92"/>
      <x:c r="E17" s="92"/>
      <x:c r="F17" s="92"/>
      <x:c r="G17" s="92"/>
      <x:c r="H17" s="92"/>
      <x:c r="I17" s="92"/>
      <x:c r="J17" s="92"/>
      <x:c r="K17" s="45"/>
    </x:row>
    <x:row r="18">
      <x:c r="A18" s="45"/>
      <x:c r="B18" s="92"/>
      <x:c r="C18" s="92"/>
      <x:c r="D18" s="92"/>
      <x:c r="E18" s="92"/>
      <x:c r="F18" s="92"/>
      <x:c r="G18" s="92"/>
      <x:c r="H18" s="92"/>
      <x:c r="I18" s="92"/>
      <x:c r="J18" s="92"/>
      <x:c r="K18" s="45"/>
    </x:row>
    <x:row r="19">
      <x:c r="A19" s="45"/>
      <x:c r="B19" s="92"/>
      <x:c r="C19" s="92"/>
      <x:c r="D19" s="92"/>
      <x:c r="E19" s="92"/>
      <x:c r="F19" s="92"/>
      <x:c r="G19" s="92"/>
      <x:c r="H19" s="92"/>
      <x:c r="I19" s="92"/>
      <x:c r="J19" s="92"/>
      <x:c r="K19" s="45"/>
    </x:row>
    <x:row r="20">
      <x:c r="A20" s="45"/>
      <x:c r="B20" s="92"/>
      <x:c r="C20" s="92"/>
      <x:c r="D20" s="92"/>
      <x:c r="E20" s="92"/>
      <x:c r="F20" s="92"/>
      <x:c r="G20" s="92"/>
      <x:c r="H20" s="92"/>
      <x:c r="I20" s="92"/>
      <x:c r="J20" s="92"/>
      <x:c r="K20" s="45"/>
    </x:row>
    <x:row r="21">
      <x:c r="A21" s="45"/>
      <x:c r="B21" s="92"/>
      <x:c r="C21" s="92"/>
      <x:c r="D21" s="92"/>
      <x:c r="E21" s="92"/>
      <x:c r="F21" s="92"/>
      <x:c r="G21" s="92"/>
      <x:c r="H21" s="92"/>
      <x:c r="I21" s="92"/>
      <x:c r="J21" s="92"/>
      <x:c r="K21" s="45"/>
    </x:row>
    <x:row r="22">
      <x:c r="A22" s="45"/>
      <x:c r="B22" s="92"/>
      <x:c r="C22" s="92"/>
      <x:c r="D22" s="92"/>
      <x:c r="E22" s="92"/>
      <x:c r="F22" s="92"/>
      <x:c r="G22" s="92"/>
      <x:c r="H22" s="92"/>
      <x:c r="I22" s="92"/>
      <x:c r="J22" s="92"/>
      <x:c r="K22" s="45"/>
    </x:row>
    <x:row r="23">
      <x:c r="A23" s="45"/>
      <x:c r="B23" s="92"/>
      <x:c r="C23" s="92"/>
      <x:c r="D23" s="92"/>
      <x:c r="E23" s="92"/>
      <x:c r="F23" s="92"/>
      <x:c r="G23" s="92"/>
      <x:c r="H23" s="92"/>
      <x:c r="I23" s="92"/>
      <x:c r="J23" s="92"/>
      <x:c r="K23" s="45"/>
    </x:row>
    <x:row r="24">
      <x:c r="A24" s="45"/>
      <x:c r="B24" s="92"/>
      <x:c r="C24" s="92"/>
      <x:c r="D24" s="92"/>
      <x:c r="E24" s="92"/>
      <x:c r="F24" s="92"/>
      <x:c r="G24" s="92"/>
      <x:c r="H24" s="92"/>
      <x:c r="I24" s="92"/>
      <x:c r="J24" s="92"/>
      <x:c r="K24" s="45"/>
    </x:row>
  </x:sheetData>
  <x:mergeCells>
    <x:mergeCell ref="A1:K1"/>
    <x:mergeCell ref="A2:K2"/>
  </x:mergeCells>
  <x:conditionalFormatting sqref="K5:K24">
    <x:cfRule type="containsText" dxfId="9" priority="1" operator="containsText" text="通过"/>
    <x:cfRule type="containsText" dxfId="10" priority="2" operator="containsText" text="待"/>
    <x:cfRule type="containsText" dxfId="11" priority="3" operator="containsText" text="错误"/>
  </x:conditionalFormatting>
  <x:dataValidations count="3">
    <x:dataValidation type="list" sqref="A5:A24">
      <x:formula1>"building.player_home,building.residential_house,building.lumber_cabin,building.fishing_hut,building.farm_field,building.market,building.road,building.tree"</x:formula1>
    </x:dataValidation>
    <x:dataValidation type="list" sqref="E5:E24">
      <x:formula1>"金币,泥土,石头,原木,木头,树苗,蔬菜,鱼,黄金鱼"</x:formula1>
    </x:dataValidation>
    <x:dataValidation type="list" sqref="H5:H24">
      <x:formula1>"金币,泥土,石头,原木,木头,树苗,蔬菜,鱼,黄金鱼"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d7068756164bb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" hidden="0" customWidth="1"/>
    <x:col min="3" max="3" width="11" hidden="0" customWidth="1"/>
    <x:col min="4" max="4" width="11" hidden="0" customWidth="1"/>
    <x:col min="5" max="5" width="13" hidden="0" customWidth="1"/>
    <x:col min="6" max="6" width="11" hidden="0" customWidth="1"/>
    <x:col min="7" max="7" width="11" hidden="0" customWidth="1"/>
    <x:col min="8" max="8" width="15" hidden="0" customWidth="1"/>
    <x:col min="9" max="9" width="15" hidden="0" customWidth="1"/>
    <x:col min="10" max="10" width="20" hidden="0" customWidth="1"/>
  </x:cols>
  <x:sheetData>
    <x:row r="1" ht="30" customHeight="1">
      <x:c r="A1" s="3" t="str">
        <x:v>等级配置：岗位运营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8" customHeight="1">
      <x:c r="A2" s="7" t="str">
        <x:v>对应 BuildingWorkforceLevelConfiguration。每个拥有 workforce 模块的运营等级必须恰好一行。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</x:row>
    <x:row r="4" ht="30" customHeight="1">
      <x:c r="A4" s="66" t="str">
        <x:v>FamilyId</x:v>
      </x:c>
      <x:c r="B4" s="67" t="str">
        <x:v>Level</x:v>
      </x:c>
      <x:c r="C4" s="67" t="str">
        <x:v>最大工人</x:v>
      </x:c>
      <x:c r="D4" s="67" t="str">
        <x:v>初始工人</x:v>
      </x:c>
      <x:c r="E4" s="67" t="str">
        <x:v>基础吸引力</x:v>
      </x:c>
      <x:c r="F4" s="67" t="str">
        <x:v>招工金币</x:v>
      </x:c>
      <x:c r="G4" s="67" t="str">
        <x:v>自动补贴</x:v>
      </x:c>
      <x:c r="H4" s="67" t="str">
        <x:v>稳定目标工人</x:v>
      </x:c>
      <x:c r="I4" s="67" t="str">
        <x:v>GoldItemId</x:v>
      </x:c>
      <x:c r="J4" s="68" t="str">
        <x:v>校验</x:v>
      </x:c>
    </x:row>
    <x:row r="5">
      <x:c r="A5" s="73" t="str">
        <x:v>building.lumber_cabin</x:v>
      </x:c>
      <x:c r="B5" s="75" t="n">
        <x:v>1</x:v>
      </x:c>
      <x:c r="C5" s="75" t="n">
        <x:v>3</x:v>
      </x:c>
      <x:c r="D5" s="75" t="n">
        <x:v>2</x:v>
      </x:c>
      <x:c r="E5" s="75" t="n">
        <x:v>55</x:v>
      </x:c>
      <x:c r="F5" s="75" t="n">
        <x:v>10</x:v>
      </x:c>
      <x:c r="G5" s="73" t="str">
        <x:v>否</x:v>
      </x:c>
      <x:c r="H5" s="75" t="n">
        <x:v>0</x:v>
      </x:c>
      <x:c r="I5" s="73" t="str">
        <x:v>金币</x:v>
      </x:c>
      <x:c r="J5" s="78" t="str">
        <x:f>IF(OR(D5&gt;C5,H5&gt;C5),"错误：工人超上限","通过")</x:f>
        <x:v>通过</x:v>
      </x:c>
    </x:row>
    <x:row r="6">
      <x:c r="A6" s="74" t="str">
        <x:v>building.lumber_cabin</x:v>
      </x:c>
      <x:c r="B6" s="76" t="n">
        <x:v>2</x:v>
      </x:c>
      <x:c r="C6" s="76" t="n">
        <x:v>5</x:v>
      </x:c>
      <x:c r="D6" s="76" t="n">
        <x:v>2</x:v>
      </x:c>
      <x:c r="E6" s="76" t="n">
        <x:v>55</x:v>
      </x:c>
      <x:c r="F6" s="76" t="n">
        <x:v>10</x:v>
      </x:c>
      <x:c r="G6" s="74" t="str">
        <x:v>否</x:v>
      </x:c>
      <x:c r="H6" s="76" t="n">
        <x:v>0</x:v>
      </x:c>
      <x:c r="I6" s="74" t="str">
        <x:v>金币</x:v>
      </x:c>
      <x:c r="J6" s="79" t="str">
        <x:f>IF(OR(D6&gt;C6,H6&gt;C6),"错误：工人超上限","通过")</x:f>
        <x:v>通过</x:v>
      </x:c>
    </x:row>
    <x:row r="7">
      <x:c r="A7" s="74" t="str">
        <x:v>building.fishing_hut</x:v>
      </x:c>
      <x:c r="B7" s="76" t="n">
        <x:v>1</x:v>
      </x:c>
      <x:c r="C7" s="76" t="n">
        <x:v>3</x:v>
      </x:c>
      <x:c r="D7" s="76" t="n">
        <x:v>0</x:v>
      </x:c>
      <x:c r="E7" s="76" t="n">
        <x:v>55</x:v>
      </x:c>
      <x:c r="F7" s="76" t="n">
        <x:v>10</x:v>
      </x:c>
      <x:c r="G7" s="74" t="str">
        <x:v>否</x:v>
      </x:c>
      <x:c r="H7" s="76" t="n">
        <x:v>0</x:v>
      </x:c>
      <x:c r="I7" s="74" t="str">
        <x:v>金币</x:v>
      </x:c>
      <x:c r="J7" s="79" t="str">
        <x:f>IF(OR(D7&gt;C7,H7&gt;C7),"错误：工人超上限","通过")</x:f>
        <x:v>通过</x:v>
      </x:c>
    </x:row>
    <x:row r="8">
      <x:c r="A8" s="74" t="str">
        <x:v>building.fishing_hut</x:v>
      </x:c>
      <x:c r="B8" s="76" t="n">
        <x:v>2</x:v>
      </x:c>
      <x:c r="C8" s="76" t="n">
        <x:v>3</x:v>
      </x:c>
      <x:c r="D8" s="76" t="n">
        <x:v>0</x:v>
      </x:c>
      <x:c r="E8" s="76" t="n">
        <x:v>55</x:v>
      </x:c>
      <x:c r="F8" s="76" t="n">
        <x:v>10</x:v>
      </x:c>
      <x:c r="G8" s="74" t="str">
        <x:v>否</x:v>
      </x:c>
      <x:c r="H8" s="76" t="n">
        <x:v>0</x:v>
      </x:c>
      <x:c r="I8" s="74" t="str">
        <x:v>金币</x:v>
      </x:c>
      <x:c r="J8" s="79" t="str">
        <x:f>IF(OR(D8&gt;C8,H8&gt;C8),"错误：工人超上限","通过")</x:f>
        <x:v>通过</x:v>
      </x:c>
    </x:row>
    <x:row r="9">
      <x:c r="A9" s="74" t="str">
        <x:v>building.farm_field</x:v>
      </x:c>
      <x:c r="B9" s="76" t="n">
        <x:v>1</x:v>
      </x:c>
      <x:c r="C9" s="76" t="n">
        <x:v>2</x:v>
      </x:c>
      <x:c r="D9" s="76" t="n">
        <x:v>0</x:v>
      </x:c>
      <x:c r="E9" s="76" t="n">
        <x:v>55</x:v>
      </x:c>
      <x:c r="F9" s="76" t="n">
        <x:v>10</x:v>
      </x:c>
      <x:c r="G9" s="74" t="str">
        <x:v>否</x:v>
      </x:c>
      <x:c r="H9" s="76" t="n">
        <x:v>0</x:v>
      </x:c>
      <x:c r="I9" s="74" t="str">
        <x:v>金币</x:v>
      </x:c>
      <x:c r="J9" s="79" t="str">
        <x:f>IF(OR(D9&gt;C9,H9&gt;C9),"错误：工人超上限","通过")</x:f>
        <x:v>通过</x:v>
      </x:c>
    </x:row>
    <x:row r="10">
      <x:c r="A10" s="74" t="str">
        <x:v>building.market</x:v>
      </x:c>
      <x:c r="B10" s="76" t="n">
        <x:v>1</x:v>
      </x:c>
      <x:c r="C10" s="76" t="n">
        <x:v>3</x:v>
      </x:c>
      <x:c r="D10" s="76" t="n">
        <x:v>3</x:v>
      </x:c>
      <x:c r="E10" s="76" t="n">
        <x:v>100</x:v>
      </x:c>
      <x:c r="F10" s="76" t="n">
        <x:v>10</x:v>
      </x:c>
      <x:c r="G10" s="74" t="str">
        <x:v>是</x:v>
      </x:c>
      <x:c r="H10" s="76" t="n">
        <x:v>3</x:v>
      </x:c>
      <x:c r="I10" s="74" t="str">
        <x:v>金币</x:v>
      </x:c>
      <x:c r="J10" s="79" t="str">
        <x:f>IF(OR(D10&gt;C10,H10&gt;C10),"错误：工人超上限","通过")</x:f>
        <x:v>通过</x:v>
      </x:c>
    </x:row>
    <x:row r="11">
      <x:c r="A11" s="45"/>
      <x:c r="B11" s="92"/>
      <x:c r="C11" s="92"/>
      <x:c r="D11" s="92"/>
      <x:c r="E11" s="92"/>
      <x:c r="F11" s="92"/>
      <x:c r="G11" s="45"/>
      <x:c r="H11" s="92"/>
      <x:c r="I11" s="45"/>
      <x:c r="J11" s="45"/>
    </x:row>
    <x:row r="12">
      <x:c r="A12" s="45"/>
      <x:c r="B12" s="92"/>
      <x:c r="C12" s="92"/>
      <x:c r="D12" s="92"/>
      <x:c r="E12" s="92"/>
      <x:c r="F12" s="92"/>
      <x:c r="G12" s="45"/>
      <x:c r="H12" s="92"/>
      <x:c r="I12" s="45"/>
      <x:c r="J12" s="45"/>
    </x:row>
    <x:row r="13">
      <x:c r="A13" s="45"/>
      <x:c r="B13" s="92"/>
      <x:c r="C13" s="92"/>
      <x:c r="D13" s="92"/>
      <x:c r="E13" s="92"/>
      <x:c r="F13" s="92"/>
      <x:c r="G13" s="45"/>
      <x:c r="H13" s="92"/>
      <x:c r="I13" s="45"/>
      <x:c r="J13" s="45"/>
    </x:row>
    <x:row r="14">
      <x:c r="A14" s="45"/>
      <x:c r="B14" s="92"/>
      <x:c r="C14" s="92"/>
      <x:c r="D14" s="92"/>
      <x:c r="E14" s="92"/>
      <x:c r="F14" s="92"/>
      <x:c r="G14" s="45"/>
      <x:c r="H14" s="92"/>
      <x:c r="I14" s="45"/>
      <x:c r="J14" s="45"/>
    </x:row>
    <x:row r="15">
      <x:c r="A15" s="45"/>
      <x:c r="B15" s="92"/>
      <x:c r="C15" s="92"/>
      <x:c r="D15" s="92"/>
      <x:c r="E15" s="92"/>
      <x:c r="F15" s="92"/>
      <x:c r="G15" s="45"/>
      <x:c r="H15" s="92"/>
      <x:c r="I15" s="45"/>
      <x:c r="J15" s="45"/>
    </x:row>
    <x:row r="16">
      <x:c r="A16" s="45"/>
      <x:c r="B16" s="92"/>
      <x:c r="C16" s="92"/>
      <x:c r="D16" s="92"/>
      <x:c r="E16" s="92"/>
      <x:c r="F16" s="92"/>
      <x:c r="G16" s="45"/>
      <x:c r="H16" s="92"/>
      <x:c r="I16" s="45"/>
      <x:c r="J16" s="45"/>
    </x:row>
    <x:row r="17">
      <x:c r="A17" s="45"/>
      <x:c r="B17" s="92"/>
      <x:c r="C17" s="92"/>
      <x:c r="D17" s="92"/>
      <x:c r="E17" s="92"/>
      <x:c r="F17" s="92"/>
      <x:c r="G17" s="45"/>
      <x:c r="H17" s="92"/>
      <x:c r="I17" s="45"/>
      <x:c r="J17" s="45"/>
    </x:row>
    <x:row r="18">
      <x:c r="A18" s="45"/>
      <x:c r="B18" s="92"/>
      <x:c r="C18" s="92"/>
      <x:c r="D18" s="92"/>
      <x:c r="E18" s="92"/>
      <x:c r="F18" s="92"/>
      <x:c r="G18" s="45"/>
      <x:c r="H18" s="92"/>
      <x:c r="I18" s="45"/>
      <x:c r="J18" s="45"/>
    </x:row>
    <x:row r="19">
      <x:c r="A19" s="45"/>
      <x:c r="B19" s="92"/>
      <x:c r="C19" s="92"/>
      <x:c r="D19" s="92"/>
      <x:c r="E19" s="92"/>
      <x:c r="F19" s="92"/>
      <x:c r="G19" s="45"/>
      <x:c r="H19" s="92"/>
      <x:c r="I19" s="45"/>
      <x:c r="J19" s="45"/>
    </x:row>
    <x:row r="20">
      <x:c r="A20" s="45"/>
      <x:c r="B20" s="92"/>
      <x:c r="C20" s="92"/>
      <x:c r="D20" s="92"/>
      <x:c r="E20" s="92"/>
      <x:c r="F20" s="92"/>
      <x:c r="G20" s="45"/>
      <x:c r="H20" s="92"/>
      <x:c r="I20" s="45"/>
      <x:c r="J20" s="45"/>
    </x:row>
    <x:row r="21">
      <x:c r="A21" s="45"/>
      <x:c r="B21" s="92"/>
      <x:c r="C21" s="92"/>
      <x:c r="D21" s="92"/>
      <x:c r="E21" s="92"/>
      <x:c r="F21" s="92"/>
      <x:c r="G21" s="45"/>
      <x:c r="H21" s="92"/>
      <x:c r="I21" s="45"/>
      <x:c r="J21" s="45"/>
    </x:row>
    <x:row r="22">
      <x:c r="A22" s="45"/>
      <x:c r="B22" s="92"/>
      <x:c r="C22" s="92"/>
      <x:c r="D22" s="92"/>
      <x:c r="E22" s="92"/>
      <x:c r="F22" s="92"/>
      <x:c r="G22" s="45"/>
      <x:c r="H22" s="92"/>
      <x:c r="I22" s="45"/>
      <x:c r="J22" s="45"/>
    </x:row>
    <x:row r="23">
      <x:c r="A23" s="45"/>
      <x:c r="B23" s="92"/>
      <x:c r="C23" s="92"/>
      <x:c r="D23" s="92"/>
      <x:c r="E23" s="92"/>
      <x:c r="F23" s="92"/>
      <x:c r="G23" s="45"/>
      <x:c r="H23" s="92"/>
      <x:c r="I23" s="45"/>
      <x:c r="J23" s="45"/>
    </x:row>
    <x:row r="24">
      <x:c r="A24" s="45"/>
      <x:c r="B24" s="92"/>
      <x:c r="C24" s="92"/>
      <x:c r="D24" s="92"/>
      <x:c r="E24" s="92"/>
      <x:c r="F24" s="92"/>
      <x:c r="G24" s="45"/>
      <x:c r="H24" s="92"/>
      <x:c r="I24" s="45"/>
      <x:c r="J24" s="45"/>
    </x:row>
  </x:sheetData>
  <x:mergeCells>
    <x:mergeCell ref="A1:J1"/>
    <x:mergeCell ref="A2:J2"/>
  </x:mergeCells>
  <x:conditionalFormatting sqref="J5:J24">
    <x:cfRule type="containsText" dxfId="12" priority="1" operator="containsText" text="通过"/>
    <x:cfRule type="containsText" dxfId="13" priority="2" operator="containsText" text="待"/>
    <x:cfRule type="containsText" dxfId="14" priority="3" operator="containsText" text="错误"/>
  </x:conditionalFormatting>
  <x:dataValidations count="3">
    <x:dataValidation type="list" sqref="A5:A24">
      <x:formula1>"building.player_home,building.residential_house,building.lumber_cabin,building.fishing_hut,building.farm_field,building.market,building.road,building.tree"</x:formula1>
    </x:dataValidation>
    <x:dataValidation type="list" sqref="G5:G24">
      <x:formula1>"是,否"</x:formula1>
    </x:dataValidation>
    <x:dataValidation type="list" sqref="I5:I24">
      <x:formula1>"金币,泥土,石头,原木,木头,树苗,蔬菜,鱼,黄金鱼"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0b5dec848041b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" hidden="0" customWidth="1"/>
    <x:col min="3" max="3" width="17" hidden="0" customWidth="1"/>
    <x:col min="4" max="4" width="12" hidden="0" customWidth="1"/>
    <x:col min="5" max="5" width="13" hidden="0" customWidth="1"/>
    <x:col min="6" max="6" width="12" hidden="0" customWidth="1"/>
    <x:col min="7" max="7" width="13" hidden="0" customWidth="1"/>
    <x:col min="8" max="8" width="20" hidden="0" customWidth="1"/>
  </x:cols>
  <x:sheetData>
    <x:row r="1" ht="30" customHeight="1">
      <x:c r="A1" s="3" t="str">
        <x:v>等级配置：资源产出</x:v>
      </x:c>
      <x:c r="B1" s="3"/>
      <x:c r="C1" s="3"/>
      <x:c r="D1" s="3"/>
      <x:c r="E1" s="3"/>
      <x:c r="F1" s="3"/>
      <x:c r="G1" s="3"/>
      <x:c r="H1" s="3"/>
    </x:row>
    <x:row r="2" ht="38" customHeight="1">
      <x:c r="A2" s="7" t="str">
        <x:v>一行一个 FamilyId + Level + OutputItemId + 工人阈值。同一等级的周期回合必须一致；产量/回合是公式，不参与导入。</x:v>
      </x:c>
      <x:c r="B2" s="7"/>
      <x:c r="C2" s="7"/>
      <x:c r="D2" s="7"/>
      <x:c r="E2" s="7"/>
      <x:c r="F2" s="7"/>
      <x:c r="G2" s="7"/>
      <x:c r="H2" s="7"/>
    </x:row>
    <x:row r="3">
      <x:c r="A3" s="45"/>
      <x:c r="B3" s="45"/>
      <x:c r="C3" s="45"/>
      <x:c r="D3" s="45"/>
      <x:c r="E3" s="45"/>
      <x:c r="F3" s="45"/>
      <x:c r="G3" s="45"/>
      <x:c r="H3" s="45"/>
    </x:row>
    <x:row r="4" ht="30" customHeight="1">
      <x:c r="A4" s="66" t="str">
        <x:v>FamilyId</x:v>
      </x:c>
      <x:c r="B4" s="67" t="str">
        <x:v>Level</x:v>
      </x:c>
      <x:c r="C4" s="67" t="str">
        <x:v>OutputItemId</x:v>
      </x:c>
      <x:c r="D4" s="67" t="str">
        <x:v>工人阈值</x:v>
      </x:c>
      <x:c r="E4" s="67" t="str">
        <x:v>产量/周期</x:v>
      </x:c>
      <x:c r="F4" s="67" t="str">
        <x:v>周期回合</x:v>
      </x:c>
      <x:c r="G4" s="67" t="str">
        <x:v>产量/回合</x:v>
      </x:c>
      <x:c r="H4" s="68" t="str">
        <x:v>校验</x:v>
      </x:c>
    </x:row>
    <x:row r="5">
      <x:c r="A5" s="73" t="str">
        <x:v>building.lumber_cabin</x:v>
      </x:c>
      <x:c r="B5" s="75" t="n">
        <x:v>1</x:v>
      </x:c>
      <x:c r="C5" s="75" t="str">
        <x:v>原木</x:v>
      </x:c>
      <x:c r="D5" s="75" t="n">
        <x:v>2</x:v>
      </x:c>
      <x:c r="E5" s="75" t="n">
        <x:v>1</x:v>
      </x:c>
      <x:c r="F5" s="75" t="n">
        <x:v>3</x:v>
      </x:c>
      <x:c r="G5" s="82" t="n">
        <x:f>E5/F5</x:f>
        <x:v>0.3333333333333333</x:v>
      </x:c>
      <x:c r="H5" s="78" t="str">
        <x:f>IF(COUNTIFS('等级_岗位'!$A$5:$A$24,A5,'等级_岗位'!$B$5:$B$24,B5)=0,"错误：缺少岗位","通过")</x:f>
        <x:v>通过</x:v>
      </x:c>
    </x:row>
    <x:row r="6">
      <x:c r="A6" s="74" t="str">
        <x:v>building.lumber_cabin</x:v>
      </x:c>
      <x:c r="B6" s="76" t="n">
        <x:v>1</x:v>
      </x:c>
      <x:c r="C6" s="76" t="str">
        <x:v>原木</x:v>
      </x:c>
      <x:c r="D6" s="76" t="n">
        <x:v>3</x:v>
      </x:c>
      <x:c r="E6" s="76" t="n">
        <x:v>2</x:v>
      </x:c>
      <x:c r="F6" s="76" t="n">
        <x:v>3</x:v>
      </x:c>
      <x:c r="G6" s="83" t="n">
        <x:f>E6/F6</x:f>
        <x:v>0.6666666666666666</x:v>
      </x:c>
      <x:c r="H6" s="79" t="str">
        <x:f>IF(COUNTIFS('等级_岗位'!$A$5:$A$24,A6,'等级_岗位'!$B$5:$B$24,B6)=0,"错误：缺少岗位","通过")</x:f>
        <x:v>通过</x:v>
      </x:c>
    </x:row>
    <x:row r="7">
      <x:c r="A7" s="74" t="str">
        <x:v>building.lumber_cabin</x:v>
      </x:c>
      <x:c r="B7" s="76" t="n">
        <x:v>2</x:v>
      </x:c>
      <x:c r="C7" s="76" t="str">
        <x:v>原木</x:v>
      </x:c>
      <x:c r="D7" s="76" t="n">
        <x:v>2</x:v>
      </x:c>
      <x:c r="E7" s="76" t="n">
        <x:v>1</x:v>
      </x:c>
      <x:c r="F7" s="76" t="n">
        <x:v>3</x:v>
      </x:c>
      <x:c r="G7" s="83" t="n">
        <x:f>E7/F7</x:f>
        <x:v>0.3333333333333333</x:v>
      </x:c>
      <x:c r="H7" s="79" t="str">
        <x:f>IF(COUNTIFS('等级_岗位'!$A$5:$A$24,A7,'等级_岗位'!$B$5:$B$24,B7)=0,"错误：缺少岗位","通过")</x:f>
        <x:v>通过</x:v>
      </x:c>
    </x:row>
    <x:row r="8">
      <x:c r="A8" s="74" t="str">
        <x:v>building.lumber_cabin</x:v>
      </x:c>
      <x:c r="B8" s="76" t="n">
        <x:v>2</x:v>
      </x:c>
      <x:c r="C8" s="76" t="str">
        <x:v>原木</x:v>
      </x:c>
      <x:c r="D8" s="76" t="n">
        <x:v>3</x:v>
      </x:c>
      <x:c r="E8" s="76" t="n">
        <x:v>2</x:v>
      </x:c>
      <x:c r="F8" s="76" t="n">
        <x:v>3</x:v>
      </x:c>
      <x:c r="G8" s="83" t="n">
        <x:f>E8/F8</x:f>
        <x:v>0.6666666666666666</x:v>
      </x:c>
      <x:c r="H8" s="79" t="str">
        <x:f>IF(COUNTIFS('等级_岗位'!$A$5:$A$24,A8,'等级_岗位'!$B$5:$B$24,B8)=0,"错误：缺少岗位","通过")</x:f>
        <x:v>通过</x:v>
      </x:c>
    </x:row>
    <x:row r="9">
      <x:c r="A9" s="74" t="str">
        <x:v>building.lumber_cabin</x:v>
      </x:c>
      <x:c r="B9" s="76" t="n">
        <x:v>2</x:v>
      </x:c>
      <x:c r="C9" s="76" t="str">
        <x:v>原木</x:v>
      </x:c>
      <x:c r="D9" s="76" t="n">
        <x:v>5</x:v>
      </x:c>
      <x:c r="E9" s="76" t="n">
        <x:v>4</x:v>
      </x:c>
      <x:c r="F9" s="76" t="n">
        <x:v>3</x:v>
      </x:c>
      <x:c r="G9" s="83" t="n">
        <x:f>E9/F9</x:f>
        <x:v>1.3333333333333333</x:v>
      </x:c>
      <x:c r="H9" s="79" t="str">
        <x:f>IF(COUNTIFS('等级_岗位'!$A$5:$A$24,A9,'等级_岗位'!$B$5:$B$24,B9)=0,"错误：缺少岗位","通过")</x:f>
        <x:v>通过</x:v>
      </x:c>
    </x:row>
    <x:row r="10">
      <x:c r="A10" s="74" t="str">
        <x:v>building.fishing_hut</x:v>
      </x:c>
      <x:c r="B10" s="76" t="n">
        <x:v>1</x:v>
      </x:c>
      <x:c r="C10" s="76" t="str">
        <x:v>鱼</x:v>
      </x:c>
      <x:c r="D10" s="76" t="n">
        <x:v>2</x:v>
      </x:c>
      <x:c r="E10" s="76" t="n">
        <x:v>1</x:v>
      </x:c>
      <x:c r="F10" s="76" t="n">
        <x:v>3</x:v>
      </x:c>
      <x:c r="G10" s="83" t="n">
        <x:f>E10/F10</x:f>
        <x:v>0.3333333333333333</x:v>
      </x:c>
      <x:c r="H10" s="79" t="str">
        <x:f>IF(COUNTIFS('等级_岗位'!$A$5:$A$24,A10,'等级_岗位'!$B$5:$B$24,B10)=0,"错误：缺少岗位","通过")</x:f>
        <x:v>通过</x:v>
      </x:c>
    </x:row>
    <x:row r="11">
      <x:c r="A11" s="74" t="str">
        <x:v>building.fishing_hut</x:v>
      </x:c>
      <x:c r="B11" s="76" t="n">
        <x:v>1</x:v>
      </x:c>
      <x:c r="C11" s="76" t="str">
        <x:v>鱼</x:v>
      </x:c>
      <x:c r="D11" s="76" t="n">
        <x:v>3</x:v>
      </x:c>
      <x:c r="E11" s="76" t="n">
        <x:v>2</x:v>
      </x:c>
      <x:c r="F11" s="76" t="n">
        <x:v>3</x:v>
      </x:c>
      <x:c r="G11" s="83" t="n">
        <x:f>E11/F11</x:f>
        <x:v>0.6666666666666666</x:v>
      </x:c>
      <x:c r="H11" s="79" t="str">
        <x:f>IF(COUNTIFS('等级_岗位'!$A$5:$A$24,A11,'等级_岗位'!$B$5:$B$24,B11)=0,"错误：缺少岗位","通过")</x:f>
        <x:v>通过</x:v>
      </x:c>
    </x:row>
    <x:row r="12">
      <x:c r="A12" s="74" t="str">
        <x:v>building.fishing_hut</x:v>
      </x:c>
      <x:c r="B12" s="76" t="n">
        <x:v>2</x:v>
      </x:c>
      <x:c r="C12" s="76" t="str">
        <x:v>鱼</x:v>
      </x:c>
      <x:c r="D12" s="76" t="n">
        <x:v>2</x:v>
      </x:c>
      <x:c r="E12" s="76" t="n">
        <x:v>1</x:v>
      </x:c>
      <x:c r="F12" s="76" t="n">
        <x:v>3</x:v>
      </x:c>
      <x:c r="G12" s="83" t="n">
        <x:f>E12/F12</x:f>
        <x:v>0.3333333333333333</x:v>
      </x:c>
      <x:c r="H12" s="79" t="str">
        <x:f>IF(COUNTIFS('等级_岗位'!$A$5:$A$24,A12,'等级_岗位'!$B$5:$B$24,B12)=0,"错误：缺少岗位","通过")</x:f>
        <x:v>通过</x:v>
      </x:c>
    </x:row>
    <x:row r="13">
      <x:c r="A13" s="74" t="str">
        <x:v>building.fishing_hut</x:v>
      </x:c>
      <x:c r="B13" s="76" t="n">
        <x:v>2</x:v>
      </x:c>
      <x:c r="C13" s="76" t="str">
        <x:v>鱼</x:v>
      </x:c>
      <x:c r="D13" s="76" t="n">
        <x:v>3</x:v>
      </x:c>
      <x:c r="E13" s="76" t="n">
        <x:v>2</x:v>
      </x:c>
      <x:c r="F13" s="76" t="n">
        <x:v>3</x:v>
      </x:c>
      <x:c r="G13" s="83" t="n">
        <x:f>E13/F13</x:f>
        <x:v>0.6666666666666666</x:v>
      </x:c>
      <x:c r="H13" s="79" t="str">
        <x:f>IF(COUNTIFS('等级_岗位'!$A$5:$A$24,A13,'等级_岗位'!$B$5:$B$24,B13)=0,"错误：缺少岗位","通过")</x:f>
        <x:v>通过</x:v>
      </x:c>
    </x:row>
    <x:row r="14">
      <x:c r="A14" s="45"/>
      <x:c r="B14" s="92"/>
      <x:c r="C14" s="92"/>
      <x:c r="D14" s="92"/>
      <x:c r="E14" s="92"/>
      <x:c r="F14" s="92"/>
      <x:c r="G14" s="93"/>
      <x:c r="H14" s="45"/>
    </x:row>
    <x:row r="15">
      <x:c r="A15" s="45"/>
      <x:c r="B15" s="92"/>
      <x:c r="C15" s="92"/>
      <x:c r="D15" s="92"/>
      <x:c r="E15" s="92"/>
      <x:c r="F15" s="92"/>
      <x:c r="G15" s="93"/>
      <x:c r="H15" s="45"/>
    </x:row>
    <x:row r="16">
      <x:c r="A16" s="45"/>
      <x:c r="B16" s="92"/>
      <x:c r="C16" s="92"/>
      <x:c r="D16" s="92"/>
      <x:c r="E16" s="92"/>
      <x:c r="F16" s="92"/>
      <x:c r="G16" s="93"/>
      <x:c r="H16" s="45"/>
    </x:row>
    <x:row r="17">
      <x:c r="A17" s="45"/>
      <x:c r="B17" s="92"/>
      <x:c r="C17" s="92"/>
      <x:c r="D17" s="92"/>
      <x:c r="E17" s="92"/>
      <x:c r="F17" s="92"/>
      <x:c r="G17" s="93"/>
      <x:c r="H17" s="45"/>
    </x:row>
    <x:row r="18">
      <x:c r="A18" s="45"/>
      <x:c r="B18" s="92"/>
      <x:c r="C18" s="92"/>
      <x:c r="D18" s="92"/>
      <x:c r="E18" s="92"/>
      <x:c r="F18" s="92"/>
      <x:c r="G18" s="93"/>
      <x:c r="H18" s="45"/>
    </x:row>
    <x:row r="19">
      <x:c r="A19" s="45"/>
      <x:c r="B19" s="92"/>
      <x:c r="C19" s="92"/>
      <x:c r="D19" s="92"/>
      <x:c r="E19" s="92"/>
      <x:c r="F19" s="92"/>
      <x:c r="G19" s="93"/>
      <x:c r="H19" s="45"/>
    </x:row>
    <x:row r="20">
      <x:c r="A20" s="45"/>
      <x:c r="B20" s="92"/>
      <x:c r="C20" s="92"/>
      <x:c r="D20" s="92"/>
      <x:c r="E20" s="92"/>
      <x:c r="F20" s="92"/>
      <x:c r="G20" s="93"/>
      <x:c r="H20" s="45"/>
    </x:row>
    <x:row r="21">
      <x:c r="A21" s="45"/>
      <x:c r="B21" s="92"/>
      <x:c r="C21" s="92"/>
      <x:c r="D21" s="92"/>
      <x:c r="E21" s="92"/>
      <x:c r="F21" s="92"/>
      <x:c r="G21" s="93"/>
      <x:c r="H21" s="45"/>
    </x:row>
    <x:row r="22">
      <x:c r="A22" s="45"/>
      <x:c r="B22" s="92"/>
      <x:c r="C22" s="92"/>
      <x:c r="D22" s="92"/>
      <x:c r="E22" s="92"/>
      <x:c r="F22" s="92"/>
      <x:c r="G22" s="93"/>
      <x:c r="H22" s="45"/>
    </x:row>
    <x:row r="23">
      <x:c r="A23" s="45"/>
      <x:c r="B23" s="92"/>
      <x:c r="C23" s="92"/>
      <x:c r="D23" s="92"/>
      <x:c r="E23" s="92"/>
      <x:c r="F23" s="92"/>
      <x:c r="G23" s="93"/>
      <x:c r="H23" s="45"/>
    </x:row>
    <x:row r="24">
      <x:c r="A24" s="45"/>
      <x:c r="B24" s="92"/>
      <x:c r="C24" s="92"/>
      <x:c r="D24" s="92"/>
      <x:c r="E24" s="92"/>
      <x:c r="F24" s="92"/>
      <x:c r="G24" s="93"/>
      <x:c r="H24" s="45"/>
    </x:row>
  </x:sheetData>
  <x:mergeCells>
    <x:mergeCell ref="A1:H1"/>
    <x:mergeCell ref="A2:H2"/>
  </x:mergeCells>
  <x:conditionalFormatting sqref="H5:H24">
    <x:cfRule type="containsText" dxfId="15" priority="1" operator="containsText" text="通过"/>
    <x:cfRule type="containsText" dxfId="16" priority="2" operator="containsText" text="待"/>
    <x:cfRule type="containsText" dxfId="17" priority="3" operator="containsText" text="错误"/>
  </x:conditionalFormatting>
  <x:dataValidations count="2">
    <x:dataValidation type="list" sqref="A5:A24">
      <x:formula1>"building.player_home,building.residential_house,building.lumber_cabin,building.fishing_hut,building.farm_field,building.market,building.road,building.tree"</x:formula1>
    </x:dataValidation>
    <x:dataValidation type="list" sqref="C5:C24">
      <x:formula1>"金币,泥土,石头,原木,木头,树苗,蔬菜,鱼,黄金鱼"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0f6a93825e41c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" hidden="0" customWidth="1"/>
    <x:col min="3" max="3" width="10" hidden="0" customWidth="1"/>
    <x:col min="4" max="4" width="16" hidden="0" customWidth="1"/>
    <x:col min="5" max="5" width="12" hidden="0" customWidth="1"/>
    <x:col min="6" max="6" width="12" hidden="0" customWidth="1"/>
    <x:col min="7" max="7" width="10" hidden="0" customWidth="1"/>
    <x:col min="8" max="8" width="18" hidden="0" customWidth="1"/>
  </x:cols>
  <x:sheetData>
    <x:row r="1" ht="30" customHeight="1">
      <x:c r="A1" s="3" t="str">
        <x:v>等级配置：捕鱼稀有产出</x:v>
      </x:c>
      <x:c r="B1" s="3"/>
      <x:c r="C1" s="3"/>
      <x:c r="D1" s="3"/>
      <x:c r="E1" s="3"/>
      <x:c r="F1" s="3"/>
      <x:c r="G1" s="3"/>
      <x:c r="H1" s="3"/>
    </x:row>
    <x:row r="2" ht="38" customHeight="1">
      <x:c r="A2" s="7" t="str">
        <x:v>对应 FishingHutLevelConfiguration / BM_稀有产出。禁用时仍可保留 ItemId 作为未来占位。</x:v>
      </x:c>
      <x:c r="B2" s="7"/>
      <x:c r="C2" s="7"/>
      <x:c r="D2" s="7"/>
      <x:c r="E2" s="7"/>
      <x:c r="F2" s="7"/>
      <x:c r="G2" s="7"/>
      <x:c r="H2" s="7"/>
    </x:row>
    <x:row r="3">
      <x:c r="A3" s="45"/>
      <x:c r="B3" s="45"/>
      <x:c r="C3" s="45"/>
      <x:c r="D3" s="45"/>
      <x:c r="E3" s="45"/>
      <x:c r="F3" s="45"/>
      <x:c r="G3" s="45"/>
      <x:c r="H3" s="45"/>
    </x:row>
    <x:row r="4" ht="30" customHeight="1">
      <x:c r="A4" s="66" t="str">
        <x:v>FamilyId</x:v>
      </x:c>
      <x:c r="B4" s="67" t="str">
        <x:v>Level</x:v>
      </x:c>
      <x:c r="C4" s="67" t="str">
        <x:v>启用</x:v>
      </x:c>
      <x:c r="D4" s="67" t="str">
        <x:v>ItemId</x:v>
      </x:c>
      <x:c r="E4" s="67" t="str">
        <x:v>最低工人</x:v>
      </x:c>
      <x:c r="F4" s="67" t="str">
        <x:v>概率%</x:v>
      </x:c>
      <x:c r="G4" s="67" t="str">
        <x:v>数量</x:v>
      </x:c>
      <x:c r="H4" s="68" t="str">
        <x:v>校验</x:v>
      </x:c>
    </x:row>
    <x:row r="5">
      <x:c r="A5" s="73" t="str">
        <x:v>building.fishing_hut</x:v>
      </x:c>
      <x:c r="B5" s="75" t="n">
        <x:v>1</x:v>
      </x:c>
      <x:c r="C5" s="73" t="str">
        <x:v>否</x:v>
      </x:c>
      <x:c r="D5" s="73" t="str">
        <x:v>黄金鱼</x:v>
      </x:c>
      <x:c r="E5" s="75" t="n">
        <x:v>3</x:v>
      </x:c>
      <x:c r="F5" s="85" t="n">
        <x:v>1</x:v>
      </x:c>
      <x:c r="G5" s="75" t="n">
        <x:v>1</x:v>
      </x:c>
      <x:c r="H5" s="78" t="str">
        <x:f>IF(OR(F5&lt;0,F5&gt;100),"错误：概率范围","通过")</x:f>
        <x:v>通过</x:v>
      </x:c>
    </x:row>
    <x:row r="6">
      <x:c r="A6" s="74" t="str">
        <x:v>building.fishing_hut</x:v>
      </x:c>
      <x:c r="B6" s="76" t="n">
        <x:v>2</x:v>
      </x:c>
      <x:c r="C6" s="74" t="str">
        <x:v>否</x:v>
      </x:c>
      <x:c r="D6" s="74" t="str">
        <x:v>黄金鱼</x:v>
      </x:c>
      <x:c r="E6" s="76" t="n">
        <x:v>3</x:v>
      </x:c>
      <x:c r="F6" s="86" t="n">
        <x:v>1</x:v>
      </x:c>
      <x:c r="G6" s="76" t="n">
        <x:v>1</x:v>
      </x:c>
      <x:c r="H6" s="79" t="str">
        <x:f>IF(OR(F6&lt;0,F6&gt;100),"错误：概率范围","通过")</x:f>
        <x:v>通过</x:v>
      </x:c>
    </x:row>
    <x:row r="7">
      <x:c r="A7" s="45"/>
      <x:c r="B7" s="92"/>
      <x:c r="C7" s="45"/>
      <x:c r="D7" s="45"/>
      <x:c r="E7" s="92"/>
      <x:c r="F7" s="93"/>
      <x:c r="G7" s="92"/>
      <x:c r="H7" s="45"/>
    </x:row>
    <x:row r="8">
      <x:c r="A8" s="45"/>
      <x:c r="B8" s="92"/>
      <x:c r="C8" s="45"/>
      <x:c r="D8" s="45"/>
      <x:c r="E8" s="92"/>
      <x:c r="F8" s="93"/>
      <x:c r="G8" s="92"/>
      <x:c r="H8" s="45"/>
    </x:row>
    <x:row r="9">
      <x:c r="A9" s="45"/>
      <x:c r="B9" s="92"/>
      <x:c r="C9" s="45"/>
      <x:c r="D9" s="45"/>
      <x:c r="E9" s="92"/>
      <x:c r="F9" s="93"/>
      <x:c r="G9" s="92"/>
      <x:c r="H9" s="45"/>
    </x:row>
    <x:row r="10">
      <x:c r="A10" s="45"/>
      <x:c r="B10" s="92"/>
      <x:c r="C10" s="45"/>
      <x:c r="D10" s="45"/>
      <x:c r="E10" s="92"/>
      <x:c r="F10" s="93"/>
      <x:c r="G10" s="92"/>
      <x:c r="H10" s="45"/>
    </x:row>
    <x:row r="11">
      <x:c r="A11" s="45"/>
      <x:c r="B11" s="92"/>
      <x:c r="C11" s="45"/>
      <x:c r="D11" s="45"/>
      <x:c r="E11" s="92"/>
      <x:c r="F11" s="93"/>
      <x:c r="G11" s="92"/>
      <x:c r="H11" s="45"/>
    </x:row>
    <x:row r="12">
      <x:c r="A12" s="45"/>
      <x:c r="B12" s="92"/>
      <x:c r="C12" s="45"/>
      <x:c r="D12" s="45"/>
      <x:c r="E12" s="92"/>
      <x:c r="F12" s="93"/>
      <x:c r="G12" s="92"/>
      <x:c r="H12" s="45"/>
    </x:row>
    <x:row r="13">
      <x:c r="A13" s="45"/>
      <x:c r="B13" s="92"/>
      <x:c r="C13" s="45"/>
      <x:c r="D13" s="45"/>
      <x:c r="E13" s="92"/>
      <x:c r="F13" s="93"/>
      <x:c r="G13" s="92"/>
      <x:c r="H13" s="45"/>
    </x:row>
    <x:row r="14">
      <x:c r="A14" s="45"/>
      <x:c r="B14" s="92"/>
      <x:c r="C14" s="45"/>
      <x:c r="D14" s="45"/>
      <x:c r="E14" s="92"/>
      <x:c r="F14" s="93"/>
      <x:c r="G14" s="92"/>
      <x:c r="H14" s="45"/>
    </x:row>
    <x:row r="15">
      <x:c r="A15" s="45"/>
      <x:c r="B15" s="92"/>
      <x:c r="C15" s="45"/>
      <x:c r="D15" s="45"/>
      <x:c r="E15" s="92"/>
      <x:c r="F15" s="93"/>
      <x:c r="G15" s="92"/>
      <x:c r="H15" s="45"/>
    </x:row>
    <x:row r="16">
      <x:c r="A16" s="45"/>
      <x:c r="B16" s="92"/>
      <x:c r="C16" s="45"/>
      <x:c r="D16" s="45"/>
      <x:c r="E16" s="92"/>
      <x:c r="F16" s="93"/>
      <x:c r="G16" s="92"/>
      <x:c r="H16" s="45"/>
    </x:row>
    <x:row r="17">
      <x:c r="A17" s="45"/>
      <x:c r="B17" s="92"/>
      <x:c r="C17" s="45"/>
      <x:c r="D17" s="45"/>
      <x:c r="E17" s="92"/>
      <x:c r="F17" s="93"/>
      <x:c r="G17" s="92"/>
      <x:c r="H17" s="45"/>
    </x:row>
    <x:row r="18">
      <x:c r="A18" s="45"/>
      <x:c r="B18" s="92"/>
      <x:c r="C18" s="45"/>
      <x:c r="D18" s="45"/>
      <x:c r="E18" s="92"/>
      <x:c r="F18" s="93"/>
      <x:c r="G18" s="92"/>
      <x:c r="H18" s="45"/>
    </x:row>
    <x:row r="19">
      <x:c r="A19" s="45"/>
      <x:c r="B19" s="92"/>
      <x:c r="C19" s="45"/>
      <x:c r="D19" s="45"/>
      <x:c r="E19" s="92"/>
      <x:c r="F19" s="93"/>
      <x:c r="G19" s="92"/>
      <x:c r="H19" s="45"/>
    </x:row>
    <x:row r="20">
      <x:c r="A20" s="45"/>
      <x:c r="B20" s="92"/>
      <x:c r="C20" s="45"/>
      <x:c r="D20" s="45"/>
      <x:c r="E20" s="92"/>
      <x:c r="F20" s="93"/>
      <x:c r="G20" s="92"/>
      <x:c r="H20" s="45"/>
    </x:row>
    <x:row r="21">
      <x:c r="A21" s="45"/>
      <x:c r="B21" s="92"/>
      <x:c r="C21" s="45"/>
      <x:c r="D21" s="45"/>
      <x:c r="E21" s="92"/>
      <x:c r="F21" s="93"/>
      <x:c r="G21" s="92"/>
      <x:c r="H21" s="45"/>
    </x:row>
    <x:row r="22">
      <x:c r="A22" s="45"/>
      <x:c r="B22" s="92"/>
      <x:c r="C22" s="45"/>
      <x:c r="D22" s="45"/>
      <x:c r="E22" s="92"/>
      <x:c r="F22" s="93"/>
      <x:c r="G22" s="92"/>
      <x:c r="H22" s="45"/>
    </x:row>
    <x:row r="23">
      <x:c r="A23" s="45"/>
      <x:c r="B23" s="92"/>
      <x:c r="C23" s="45"/>
      <x:c r="D23" s="45"/>
      <x:c r="E23" s="92"/>
      <x:c r="F23" s="93"/>
      <x:c r="G23" s="92"/>
      <x:c r="H23" s="45"/>
    </x:row>
    <x:row r="24">
      <x:c r="A24" s="45"/>
      <x:c r="B24" s="92"/>
      <x:c r="C24" s="45"/>
      <x:c r="D24" s="45"/>
      <x:c r="E24" s="92"/>
      <x:c r="F24" s="93"/>
      <x:c r="G24" s="92"/>
      <x:c r="H24" s="45"/>
    </x:row>
  </x:sheetData>
  <x:mergeCells>
    <x:mergeCell ref="A1:H1"/>
    <x:mergeCell ref="A2:H2"/>
  </x:mergeCells>
  <x:conditionalFormatting sqref="H5:H24">
    <x:cfRule type="containsText" dxfId="18" priority="1" operator="containsText" text="通过"/>
    <x:cfRule type="containsText" dxfId="19" priority="2" operator="containsText" text="待"/>
    <x:cfRule type="containsText" dxfId="20" priority="3" operator="containsText" text="错误"/>
  </x:conditionalFormatting>
  <x:dataValidations count="3">
    <x:dataValidation type="list" sqref="A5:A24">
      <x:formula1>"building.player_home,building.residential_house,building.lumber_cabin,building.fishing_hut,building.farm_field,building.market,building.road,building.tree"</x:formula1>
    </x:dataValidation>
    <x:dataValidation type="list" sqref="C5:C24">
      <x:formula1>"是,否"</x:formula1>
    </x:dataValidation>
    <x:dataValidation type="list" sqref="D5:D24">
      <x:formula1>"金币,泥土,石头,原木,木头,树苗,蔬菜,鱼,黄金鱼"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184eef9c7949f3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4" hidden="0" customWidth="1"/>
    <x:col min="5" max="5" width="18" hidden="0" customWidth="1"/>
  </x:cols>
  <x:sheetData>
    <x:row r="1" ht="30" customHeight="1">
      <x:c r="A1" s="3" t="str">
        <x:v>模块默认值：市场资源结算</x:v>
      </x:c>
      <x:c r="B1" s="3"/>
      <x:c r="C1" s="3"/>
      <x:c r="D1" s="3"/>
      <x:c r="E1" s="3"/>
    </x:row>
    <x:row r="2" ht="38" customHeight="1">
      <x:c r="A2" s="7" t="str">
        <x:v>模块级配置，不随运营等级变化。价值结算比例以小数填写：0.1 表示 10%。</x:v>
      </x:c>
      <x:c r="B2" s="7"/>
      <x:c r="C2" s="7"/>
      <x:c r="D2" s="7"/>
      <x:c r="E2" s="7"/>
    </x:row>
    <x:row r="3">
      <x:c r="A3" s="45"/>
      <x:c r="B3" s="45"/>
      <x:c r="C3" s="45"/>
      <x:c r="D3" s="45"/>
      <x:c r="E3" s="45"/>
    </x:row>
    <x:row r="4" ht="30" customHeight="1">
      <x:c r="A4" s="66" t="str">
        <x:v>FamilyId</x:v>
      </x:c>
      <x:c r="B4" s="67" t="str">
        <x:v>GoldItemId</x:v>
      </x:c>
      <x:c r="C4" s="67" t="str">
        <x:v>价值结算比例</x:v>
      </x:c>
      <x:c r="D4" s="67" t="str">
        <x:v>显示比例</x:v>
      </x:c>
      <x:c r="E4" s="68" t="str">
        <x:v>校验</x:v>
      </x:c>
    </x:row>
    <x:row r="5">
      <x:c r="A5" s="73" t="str">
        <x:v>building.market</x:v>
      </x:c>
      <x:c r="B5" s="73" t="str">
        <x:v>金币</x:v>
      </x:c>
      <x:c r="C5" s="88" t="n">
        <x:v>0.1</x:v>
      </x:c>
      <x:c r="D5" s="87" t="n">
        <x:f>C5</x:f>
        <x:v>0.1</x:v>
      </x:c>
      <x:c r="E5" s="78" t="str">
        <x:f>IF(C5&lt;0,"错误：比例","通过")</x:f>
        <x:v>通过</x:v>
      </x:c>
    </x:row>
    <x:row r="6">
      <x:c r="A6" s="45"/>
      <x:c r="B6" s="45"/>
      <x:c r="C6" s="94"/>
      <x:c r="D6" s="45"/>
      <x:c r="E6" s="45"/>
    </x:row>
    <x:row r="7">
      <x:c r="A7" s="45"/>
      <x:c r="B7" s="45"/>
      <x:c r="C7" s="94"/>
      <x:c r="D7" s="45"/>
      <x:c r="E7" s="45"/>
    </x:row>
    <x:row r="8">
      <x:c r="A8" s="45"/>
      <x:c r="B8" s="45"/>
      <x:c r="C8" s="94"/>
      <x:c r="D8" s="45"/>
      <x:c r="E8" s="45"/>
    </x:row>
    <x:row r="9">
      <x:c r="A9" s="45"/>
      <x:c r="B9" s="45"/>
      <x:c r="C9" s="94"/>
      <x:c r="D9" s="45"/>
      <x:c r="E9" s="45"/>
    </x:row>
    <x:row r="10">
      <x:c r="A10" s="45"/>
      <x:c r="B10" s="45"/>
      <x:c r="C10" s="94"/>
      <x:c r="D10" s="45"/>
      <x:c r="E10" s="45"/>
    </x:row>
    <x:row r="11">
      <x:c r="A11" s="45"/>
      <x:c r="B11" s="45"/>
      <x:c r="C11" s="94"/>
      <x:c r="D11" s="45"/>
      <x:c r="E11" s="45"/>
    </x:row>
    <x:row r="12">
      <x:c r="A12" s="45"/>
      <x:c r="B12" s="45"/>
      <x:c r="C12" s="94"/>
      <x:c r="D12" s="45"/>
      <x:c r="E12" s="45"/>
    </x:row>
    <x:row r="13">
      <x:c r="A13" s="45"/>
      <x:c r="B13" s="45"/>
      <x:c r="C13" s="94"/>
      <x:c r="D13" s="45"/>
      <x:c r="E13" s="45"/>
    </x:row>
    <x:row r="14">
      <x:c r="A14" s="45"/>
      <x:c r="B14" s="45"/>
      <x:c r="C14" s="94"/>
      <x:c r="D14" s="45"/>
      <x:c r="E14" s="45"/>
    </x:row>
    <x:row r="15">
      <x:c r="A15" s="45"/>
      <x:c r="B15" s="45"/>
      <x:c r="C15" s="94"/>
      <x:c r="D15" s="45"/>
      <x:c r="E15" s="45"/>
    </x:row>
    <x:row r="16">
      <x:c r="A16" s="45"/>
      <x:c r="B16" s="45"/>
      <x:c r="C16" s="94"/>
      <x:c r="D16" s="45"/>
      <x:c r="E16" s="45"/>
    </x:row>
    <x:row r="17">
      <x:c r="A17" s="45"/>
      <x:c r="B17" s="45"/>
      <x:c r="C17" s="94"/>
      <x:c r="D17" s="45"/>
      <x:c r="E17" s="45"/>
    </x:row>
    <x:row r="18">
      <x:c r="A18" s="45"/>
      <x:c r="B18" s="45"/>
      <x:c r="C18" s="94"/>
      <x:c r="D18" s="45"/>
      <x:c r="E18" s="45"/>
    </x:row>
    <x:row r="19">
      <x:c r="A19" s="45"/>
      <x:c r="B19" s="45"/>
      <x:c r="C19" s="94"/>
      <x:c r="D19" s="45"/>
      <x:c r="E19" s="45"/>
    </x:row>
    <x:row r="20">
      <x:c r="A20" s="45"/>
      <x:c r="B20" s="45"/>
      <x:c r="C20" s="94"/>
      <x:c r="D20" s="45"/>
      <x:c r="E20" s="45"/>
    </x:row>
    <x:row r="21">
      <x:c r="A21" s="45"/>
      <x:c r="B21" s="45"/>
      <x:c r="C21" s="94"/>
      <x:c r="D21" s="45"/>
      <x:c r="E21" s="45"/>
    </x:row>
    <x:row r="22">
      <x:c r="A22" s="45"/>
      <x:c r="B22" s="45"/>
      <x:c r="C22" s="94"/>
      <x:c r="D22" s="45"/>
      <x:c r="E22" s="45"/>
    </x:row>
    <x:row r="23">
      <x:c r="A23" s="45"/>
      <x:c r="B23" s="45"/>
      <x:c r="C23" s="94"/>
      <x:c r="D23" s="45"/>
      <x:c r="E23" s="45"/>
    </x:row>
    <x:row r="24">
      <x:c r="A24" s="45"/>
      <x:c r="B24" s="45"/>
      <x:c r="C24" s="94"/>
      <x:c r="D24" s="45"/>
      <x:c r="E24" s="45"/>
    </x:row>
  </x:sheetData>
  <x:mergeCells>
    <x:mergeCell ref="A1:E1"/>
    <x:mergeCell ref="A2:E2"/>
  </x:mergeCells>
  <x:conditionalFormatting sqref="E5:E24">
    <x:cfRule type="containsText" dxfId="21" priority="1" operator="containsText" text="通过"/>
    <x:cfRule type="containsText" dxfId="22" priority="2" operator="containsText" text="待"/>
    <x:cfRule type="containsText" dxfId="23" priority="3" operator="containsText" text="错误"/>
  </x:conditionalFormatting>
  <x:dataValidations count="2">
    <x:dataValidation type="list" sqref="A5:A24">
      <x:formula1>"building.player_home,building.residential_house,building.lumber_cabin,building.fishing_hut,building.farm_field,building.market,building.road,building.tree"</x:formula1>
    </x:dataValidation>
    <x:dataValidation type="list" sqref="B5:B24">
      <x:formula1>"金币,泥土,石头,原木,木头,树苗,蔬菜,鱼,黄金鱼"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837da04ea34d57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" hidden="0" customWidth="1"/>
    <x:col min="3" max="3" width="11" hidden="0" customWidth="1"/>
    <x:col min="4" max="4" width="11" hidden="0" customWidth="1"/>
    <x:col min="5" max="5" width="15" hidden="0" customWidth="1"/>
    <x:col min="6" max="6" width="11" hidden="0" customWidth="1"/>
    <x:col min="7" max="7" width="17" hidden="0" customWidth="1"/>
    <x:col min="8" max="8" width="11" hidden="0" customWidth="1"/>
    <x:col min="9" max="9" width="13" hidden="0" customWidth="1"/>
    <x:col min="10" max="10" width="16" hidden="0" customWidth="1"/>
    <x:col min="11" max="11" width="18" hidden="0" customWidth="1"/>
  </x:cols>
  <x:sheetData>
    <x:row r="1" ht="30" customHeight="1">
      <x:c r="A1" s="3" t="str">
        <x:v>模块默认值：树木采集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8" customHeight="1">
      <x:c r="A2" s="7" t="str">
        <x:v>模块级配置，不随运营等级或 Style 变化。平均生命与预计双击次数为策划分析公式。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</x:row>
    <x:row r="4" ht="30" customHeight="1">
      <x:c r="A4" s="66" t="str">
        <x:v>FamilyId</x:v>
      </x:c>
      <x:c r="B4" s="67" t="str">
        <x:v>最低生命</x:v>
      </x:c>
      <x:c r="C4" s="67" t="str">
        <x:v>最高生命</x:v>
      </x:c>
      <x:c r="D4" s="67" t="str">
        <x:v>双击伤害</x:v>
      </x:c>
      <x:c r="E4" s="67" t="str">
        <x:v>WoodItemId</x:v>
      </x:c>
      <x:c r="F4" s="67" t="str">
        <x:v>原木奖励</x:v>
      </x:c>
      <x:c r="G4" s="67" t="str">
        <x:v>SaplingItemId</x:v>
      </x:c>
      <x:c r="H4" s="67" t="str">
        <x:v>树苗奖励</x:v>
      </x:c>
      <x:c r="I4" s="67" t="str">
        <x:v>平均生命</x:v>
      </x:c>
      <x:c r="J4" s="67" t="str">
        <x:v>预计双击次数</x:v>
      </x:c>
      <x:c r="K4" s="68" t="str">
        <x:v>校验</x:v>
      </x:c>
    </x:row>
    <x:row r="5">
      <x:c r="A5" s="73" t="str">
        <x:v>building.tree</x:v>
      </x:c>
      <x:c r="B5" s="75" t="n">
        <x:v>3</x:v>
      </x:c>
      <x:c r="C5" s="75" t="n">
        <x:v>6</x:v>
      </x:c>
      <x:c r="D5" s="75" t="n">
        <x:v>1</x:v>
      </x:c>
      <x:c r="E5" s="75" t="str">
        <x:v>原木</x:v>
      </x:c>
      <x:c r="F5" s="75" t="n">
        <x:v>2</x:v>
      </x:c>
      <x:c r="G5" s="75" t="str">
        <x:v>树苗</x:v>
      </x:c>
      <x:c r="H5" s="75" t="n">
        <x:v>3</x:v>
      </x:c>
      <x:c r="I5" s="90" t="n">
        <x:f>(B5+C5)/2</x:f>
        <x:v>4.5</x:v>
      </x:c>
      <x:c r="J5" s="80" t="n">
        <x:f>ROUNDUP(I5/D5,0)</x:f>
        <x:v>5</x:v>
      </x:c>
      <x:c r="K5" s="78" t="str">
        <x:f>IF(C5&lt;B5,"错误：生命范围","通过")</x:f>
        <x:v>通过</x:v>
      </x:c>
    </x:row>
    <x:row r="6">
      <x:c r="A6" s="45"/>
      <x:c r="B6" s="92"/>
      <x:c r="C6" s="92"/>
      <x:c r="D6" s="92"/>
      <x:c r="E6" s="92"/>
      <x:c r="F6" s="92"/>
      <x:c r="G6" s="92"/>
      <x:c r="H6" s="92"/>
      <x:c r="I6" s="95"/>
      <x:c r="J6" s="92"/>
      <x:c r="K6" s="45"/>
    </x:row>
    <x:row r="7">
      <x:c r="A7" s="45"/>
      <x:c r="B7" s="92"/>
      <x:c r="C7" s="92"/>
      <x:c r="D7" s="92"/>
      <x:c r="E7" s="92"/>
      <x:c r="F7" s="92"/>
      <x:c r="G7" s="92"/>
      <x:c r="H7" s="92"/>
      <x:c r="I7" s="95"/>
      <x:c r="J7" s="92"/>
      <x:c r="K7" s="45"/>
    </x:row>
    <x:row r="8">
      <x:c r="A8" s="45"/>
      <x:c r="B8" s="92"/>
      <x:c r="C8" s="92"/>
      <x:c r="D8" s="92"/>
      <x:c r="E8" s="92"/>
      <x:c r="F8" s="92"/>
      <x:c r="G8" s="92"/>
      <x:c r="H8" s="92"/>
      <x:c r="I8" s="95"/>
      <x:c r="J8" s="92"/>
      <x:c r="K8" s="45"/>
    </x:row>
    <x:row r="9">
      <x:c r="A9" s="45"/>
      <x:c r="B9" s="92"/>
      <x:c r="C9" s="92"/>
      <x:c r="D9" s="92"/>
      <x:c r="E9" s="92"/>
      <x:c r="F9" s="92"/>
      <x:c r="G9" s="92"/>
      <x:c r="H9" s="92"/>
      <x:c r="I9" s="95"/>
      <x:c r="J9" s="92"/>
      <x:c r="K9" s="45"/>
    </x:row>
    <x:row r="10">
      <x:c r="A10" s="45"/>
      <x:c r="B10" s="92"/>
      <x:c r="C10" s="92"/>
      <x:c r="D10" s="92"/>
      <x:c r="E10" s="92"/>
      <x:c r="F10" s="92"/>
      <x:c r="G10" s="92"/>
      <x:c r="H10" s="92"/>
      <x:c r="I10" s="95"/>
      <x:c r="J10" s="92"/>
      <x:c r="K10" s="45"/>
    </x:row>
    <x:row r="11">
      <x:c r="A11" s="45"/>
      <x:c r="B11" s="92"/>
      <x:c r="C11" s="92"/>
      <x:c r="D11" s="92"/>
      <x:c r="E11" s="92"/>
      <x:c r="F11" s="92"/>
      <x:c r="G11" s="92"/>
      <x:c r="H11" s="92"/>
      <x:c r="I11" s="95"/>
      <x:c r="J11" s="92"/>
      <x:c r="K11" s="45"/>
    </x:row>
    <x:row r="12">
      <x:c r="A12" s="45"/>
      <x:c r="B12" s="92"/>
      <x:c r="C12" s="92"/>
      <x:c r="D12" s="92"/>
      <x:c r="E12" s="92"/>
      <x:c r="F12" s="92"/>
      <x:c r="G12" s="92"/>
      <x:c r="H12" s="92"/>
      <x:c r="I12" s="95"/>
      <x:c r="J12" s="92"/>
      <x:c r="K12" s="45"/>
    </x:row>
    <x:row r="13">
      <x:c r="A13" s="45"/>
      <x:c r="B13" s="92"/>
      <x:c r="C13" s="92"/>
      <x:c r="D13" s="92"/>
      <x:c r="E13" s="92"/>
      <x:c r="F13" s="92"/>
      <x:c r="G13" s="92"/>
      <x:c r="H13" s="92"/>
      <x:c r="I13" s="95"/>
      <x:c r="J13" s="92"/>
      <x:c r="K13" s="45"/>
    </x:row>
    <x:row r="14">
      <x:c r="A14" s="45"/>
      <x:c r="B14" s="92"/>
      <x:c r="C14" s="92"/>
      <x:c r="D14" s="92"/>
      <x:c r="E14" s="92"/>
      <x:c r="F14" s="92"/>
      <x:c r="G14" s="92"/>
      <x:c r="H14" s="92"/>
      <x:c r="I14" s="95"/>
      <x:c r="J14" s="92"/>
      <x:c r="K14" s="45"/>
    </x:row>
    <x:row r="15">
      <x:c r="A15" s="45"/>
      <x:c r="B15" s="92"/>
      <x:c r="C15" s="92"/>
      <x:c r="D15" s="92"/>
      <x:c r="E15" s="92"/>
      <x:c r="F15" s="92"/>
      <x:c r="G15" s="92"/>
      <x:c r="H15" s="92"/>
      <x:c r="I15" s="95"/>
      <x:c r="J15" s="92"/>
      <x:c r="K15" s="45"/>
    </x:row>
    <x:row r="16">
      <x:c r="A16" s="45"/>
      <x:c r="B16" s="92"/>
      <x:c r="C16" s="92"/>
      <x:c r="D16" s="92"/>
      <x:c r="E16" s="92"/>
      <x:c r="F16" s="92"/>
      <x:c r="G16" s="92"/>
      <x:c r="H16" s="92"/>
      <x:c r="I16" s="95"/>
      <x:c r="J16" s="92"/>
      <x:c r="K16" s="45"/>
    </x:row>
    <x:row r="17">
      <x:c r="A17" s="45"/>
      <x:c r="B17" s="92"/>
      <x:c r="C17" s="92"/>
      <x:c r="D17" s="92"/>
      <x:c r="E17" s="92"/>
      <x:c r="F17" s="92"/>
      <x:c r="G17" s="92"/>
      <x:c r="H17" s="92"/>
      <x:c r="I17" s="95"/>
      <x:c r="J17" s="92"/>
      <x:c r="K17" s="45"/>
    </x:row>
    <x:row r="18">
      <x:c r="A18" s="45"/>
      <x:c r="B18" s="92"/>
      <x:c r="C18" s="92"/>
      <x:c r="D18" s="92"/>
      <x:c r="E18" s="92"/>
      <x:c r="F18" s="92"/>
      <x:c r="G18" s="92"/>
      <x:c r="H18" s="92"/>
      <x:c r="I18" s="95"/>
      <x:c r="J18" s="92"/>
      <x:c r="K18" s="45"/>
    </x:row>
    <x:row r="19">
      <x:c r="A19" s="45"/>
      <x:c r="B19" s="92"/>
      <x:c r="C19" s="92"/>
      <x:c r="D19" s="92"/>
      <x:c r="E19" s="92"/>
      <x:c r="F19" s="92"/>
      <x:c r="G19" s="92"/>
      <x:c r="H19" s="92"/>
      <x:c r="I19" s="95"/>
      <x:c r="J19" s="92"/>
      <x:c r="K19" s="45"/>
    </x:row>
    <x:row r="20">
      <x:c r="A20" s="45"/>
      <x:c r="B20" s="92"/>
      <x:c r="C20" s="92"/>
      <x:c r="D20" s="92"/>
      <x:c r="E20" s="92"/>
      <x:c r="F20" s="92"/>
      <x:c r="G20" s="92"/>
      <x:c r="H20" s="92"/>
      <x:c r="I20" s="95"/>
      <x:c r="J20" s="92"/>
      <x:c r="K20" s="45"/>
    </x:row>
    <x:row r="21">
      <x:c r="A21" s="45"/>
      <x:c r="B21" s="92"/>
      <x:c r="C21" s="92"/>
      <x:c r="D21" s="92"/>
      <x:c r="E21" s="92"/>
      <x:c r="F21" s="92"/>
      <x:c r="G21" s="92"/>
      <x:c r="H21" s="92"/>
      <x:c r="I21" s="95"/>
      <x:c r="J21" s="92"/>
      <x:c r="K21" s="45"/>
    </x:row>
    <x:row r="22">
      <x:c r="A22" s="45"/>
      <x:c r="B22" s="92"/>
      <x:c r="C22" s="92"/>
      <x:c r="D22" s="92"/>
      <x:c r="E22" s="92"/>
      <x:c r="F22" s="92"/>
      <x:c r="G22" s="92"/>
      <x:c r="H22" s="92"/>
      <x:c r="I22" s="95"/>
      <x:c r="J22" s="92"/>
      <x:c r="K22" s="45"/>
    </x:row>
    <x:row r="23">
      <x:c r="A23" s="45"/>
      <x:c r="B23" s="92"/>
      <x:c r="C23" s="92"/>
      <x:c r="D23" s="92"/>
      <x:c r="E23" s="92"/>
      <x:c r="F23" s="92"/>
      <x:c r="G23" s="92"/>
      <x:c r="H23" s="92"/>
      <x:c r="I23" s="95"/>
      <x:c r="J23" s="92"/>
      <x:c r="K23" s="45"/>
    </x:row>
    <x:row r="24">
      <x:c r="A24" s="45"/>
      <x:c r="B24" s="92"/>
      <x:c r="C24" s="92"/>
      <x:c r="D24" s="92"/>
      <x:c r="E24" s="92"/>
      <x:c r="F24" s="92"/>
      <x:c r="G24" s="92"/>
      <x:c r="H24" s="92"/>
      <x:c r="I24" s="95"/>
      <x:c r="J24" s="92"/>
      <x:c r="K24" s="45"/>
    </x:row>
  </x:sheetData>
  <x:mergeCells>
    <x:mergeCell ref="A1:K1"/>
    <x:mergeCell ref="A2:K2"/>
  </x:mergeCells>
  <x:conditionalFormatting sqref="K5:K24">
    <x:cfRule type="containsText" dxfId="24" priority="1" operator="containsText" text="通过"/>
    <x:cfRule type="containsText" dxfId="25" priority="2" operator="containsText" text="待"/>
    <x:cfRule type="containsText" dxfId="26" priority="3" operator="containsText" text="错误"/>
  </x:conditionalFormatting>
  <x:dataValidations count="3">
    <x:dataValidation type="list" sqref="A5:A24">
      <x:formula1>"building.player_home,building.residential_house,building.lumber_cabin,building.fishing_hut,building.farm_field,building.market,building.road,building.tree"</x:formula1>
    </x:dataValidation>
    <x:dataValidation type="list" sqref="E5:E24">
      <x:formula1>"金币,泥土,石头,原木,木头,树苗,蔬菜,鱼,黄金鱼"</x:formula1>
    </x:dataValidation>
    <x:dataValidation type="list" sqref="G5:G24">
      <x:formula1>"金币,泥土,石头,原木,木头,树苗,蔬菜,鱼,黄金鱼"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578c4d6f5d44ca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18" hidden="0" customWidth="1"/>
    <x:col min="4" max="4" width="12" hidden="0" customWidth="1"/>
    <x:col min="5" max="5" width="42" hidden="0" customWidth="1"/>
  </x:cols>
  <x:sheetData>
    <x:row r="1" ht="30" customHeight="1">
      <x:c r="A1" s="3" t="str">
        <x:v>模块默认值：作物定义</x:v>
      </x:c>
      <x:c r="B1" s="3"/>
      <x:c r="C1" s="3"/>
      <x:c r="D1" s="3"/>
      <x:c r="E1" s="3"/>
    </x:row>
    <x:row r="2" ht="38" customHeight="1">
      <x:c r="A2" s="7" t="str">
        <x:v>当前项目作物列表尚未配置。新增时一行一个 FamilyId + CropId；图标继续在 Unity 中按 CropId 维护，导入不会覆盖。</x:v>
      </x:c>
      <x:c r="B2" s="7"/>
      <x:c r="C2" s="7"/>
      <x:c r="D2" s="7"/>
      <x:c r="E2" s="7"/>
    </x:row>
    <x:row r="3">
      <x:c r="A3" s="45"/>
      <x:c r="B3" s="45"/>
      <x:c r="C3" s="45"/>
      <x:c r="D3" s="45"/>
      <x:c r="E3" s="45"/>
    </x:row>
    <x:row r="4" ht="30" customHeight="1">
      <x:c r="A4" s="66" t="str">
        <x:v>FamilyId</x:v>
      </x:c>
      <x:c r="B4" s="67" t="str">
        <x:v>CropId</x:v>
      </x:c>
      <x:c r="C4" s="67" t="str">
        <x:v>显示名</x:v>
      </x:c>
      <x:c r="D4" s="67" t="str">
        <x:v>成熟回合</x:v>
      </x:c>
      <x:c r="E4" s="68" t="str">
        <x:v>说明</x:v>
      </x:c>
    </x:row>
    <x:row r="5">
      <x:c r="A5" s="45"/>
      <x:c r="B5" s="45"/>
      <x:c r="C5" s="45"/>
      <x:c r="D5" s="92"/>
      <x:c r="E5" s="45"/>
    </x:row>
    <x:row r="6">
      <x:c r="A6" s="45"/>
      <x:c r="B6" s="45"/>
      <x:c r="C6" s="45"/>
      <x:c r="D6" s="92"/>
      <x:c r="E6" s="45"/>
    </x:row>
    <x:row r="7">
      <x:c r="A7" s="45"/>
      <x:c r="B7" s="45"/>
      <x:c r="C7" s="45"/>
      <x:c r="D7" s="92"/>
      <x:c r="E7" s="45"/>
    </x:row>
    <x:row r="8">
      <x:c r="A8" s="45"/>
      <x:c r="B8" s="45"/>
      <x:c r="C8" s="45"/>
      <x:c r="D8" s="92"/>
      <x:c r="E8" s="45"/>
    </x:row>
    <x:row r="9">
      <x:c r="A9" s="45"/>
      <x:c r="B9" s="45"/>
      <x:c r="C9" s="45"/>
      <x:c r="D9" s="92"/>
      <x:c r="E9" s="45"/>
    </x:row>
    <x:row r="10">
      <x:c r="A10" s="45"/>
      <x:c r="B10" s="45"/>
      <x:c r="C10" s="45"/>
      <x:c r="D10" s="92"/>
      <x:c r="E10" s="45"/>
    </x:row>
    <x:row r="11">
      <x:c r="A11" s="45"/>
      <x:c r="B11" s="45"/>
      <x:c r="C11" s="45"/>
      <x:c r="D11" s="92"/>
      <x:c r="E11" s="45"/>
    </x:row>
    <x:row r="12">
      <x:c r="A12" s="45"/>
      <x:c r="B12" s="45"/>
      <x:c r="C12" s="45"/>
      <x:c r="D12" s="92"/>
      <x:c r="E12" s="45"/>
    </x:row>
    <x:row r="13">
      <x:c r="A13" s="45"/>
      <x:c r="B13" s="45"/>
      <x:c r="C13" s="45"/>
      <x:c r="D13" s="92"/>
      <x:c r="E13" s="45"/>
    </x:row>
    <x:row r="14">
      <x:c r="A14" s="45"/>
      <x:c r="B14" s="45"/>
      <x:c r="C14" s="45"/>
      <x:c r="D14" s="92"/>
      <x:c r="E14" s="45"/>
    </x:row>
    <x:row r="15">
      <x:c r="A15" s="45"/>
      <x:c r="B15" s="45"/>
      <x:c r="C15" s="45"/>
      <x:c r="D15" s="92"/>
      <x:c r="E15" s="45"/>
    </x:row>
    <x:row r="16">
      <x:c r="A16" s="45"/>
      <x:c r="B16" s="45"/>
      <x:c r="C16" s="45"/>
      <x:c r="D16" s="92"/>
      <x:c r="E16" s="45"/>
    </x:row>
    <x:row r="17">
      <x:c r="A17" s="45"/>
      <x:c r="B17" s="45"/>
      <x:c r="C17" s="45"/>
      <x:c r="D17" s="92"/>
      <x:c r="E17" s="45"/>
    </x:row>
    <x:row r="18">
      <x:c r="A18" s="45"/>
      <x:c r="B18" s="45"/>
      <x:c r="C18" s="45"/>
      <x:c r="D18" s="92"/>
      <x:c r="E18" s="45"/>
    </x:row>
    <x:row r="19">
      <x:c r="A19" s="45"/>
      <x:c r="B19" s="45"/>
      <x:c r="C19" s="45"/>
      <x:c r="D19" s="92"/>
      <x:c r="E19" s="45"/>
    </x:row>
    <x:row r="20">
      <x:c r="A20" s="45"/>
      <x:c r="B20" s="45"/>
      <x:c r="C20" s="45"/>
      <x:c r="D20" s="92"/>
      <x:c r="E20" s="45"/>
    </x:row>
    <x:row r="21">
      <x:c r="A21" s="45"/>
      <x:c r="B21" s="45"/>
      <x:c r="C21" s="45"/>
      <x:c r="D21" s="92"/>
      <x:c r="E21" s="45"/>
    </x:row>
    <x:row r="22">
      <x:c r="A22" s="45"/>
      <x:c r="B22" s="45"/>
      <x:c r="C22" s="45"/>
      <x:c r="D22" s="92"/>
      <x:c r="E22" s="45"/>
    </x:row>
    <x:row r="23">
      <x:c r="A23" s="45"/>
      <x:c r="B23" s="45"/>
      <x:c r="C23" s="45"/>
      <x:c r="D23" s="92"/>
      <x:c r="E23" s="45"/>
    </x:row>
    <x:row r="24">
      <x:c r="A24" s="45"/>
      <x:c r="B24" s="45"/>
      <x:c r="C24" s="45"/>
      <x:c r="D24" s="92"/>
      <x:c r="E24" s="45"/>
    </x:row>
  </x:sheetData>
  <x:mergeCells>
    <x:mergeCell ref="A1:E1"/>
    <x:mergeCell ref="A2:E2"/>
  </x:mergeCells>
  <x:dataValidations count="1">
    <x:dataValidation type="list" sqref="A5:A24">
      <x:formula1>"building.player_home,building.residential_house,building.lumber_cabin,building.fishing_hut,building.farm_field,building.market,building.road,building.tree"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16" hidden="0" customWidth="1"/>
    <x:col min="4" max="4" width="10" hidden="0" customWidth="1"/>
    <x:col min="5" max="5" width="38" hidden="0" customWidth="1"/>
  </x:cols>
  <x:sheetData>
    <x:row r="1" ht="30" customHeight="1">
      <x:c r="A1" s="3" t="str">
        <x:v>作物：种植消耗</x:v>
      </x:c>
      <x:c r="B1" s="3"/>
      <x:c r="C1" s="3"/>
      <x:c r="D1" s="3"/>
      <x:c r="E1" s="3"/>
    </x:row>
    <x:row r="2" ht="38" customHeight="1">
      <x:c r="A2" s="7" t="str">
        <x:v>引用模块_作物中的 FamilyId + CropId。一行一种 ItemId；无消耗不写行。</x:v>
      </x:c>
      <x:c r="B2" s="7"/>
      <x:c r="C2" s="7"/>
      <x:c r="D2" s="7"/>
      <x:c r="E2" s="7"/>
    </x:row>
    <x:row r="3">
      <x:c r="A3" s="45"/>
      <x:c r="B3" s="45"/>
      <x:c r="C3" s="45"/>
      <x:c r="D3" s="45"/>
      <x:c r="E3" s="45"/>
    </x:row>
    <x:row r="4" ht="30" customHeight="1">
      <x:c r="A4" s="66" t="str">
        <x:v>FamilyId</x:v>
      </x:c>
      <x:c r="B4" s="67" t="str">
        <x:v>CropId</x:v>
      </x:c>
      <x:c r="C4" s="67" t="str">
        <x:v>ItemId</x:v>
      </x:c>
      <x:c r="D4" s="67" t="str">
        <x:v>数量</x:v>
      </x:c>
      <x:c r="E4" s="68" t="str">
        <x:v>说明</x:v>
      </x:c>
    </x:row>
    <x:row r="5">
      <x:c r="A5" s="45"/>
      <x:c r="B5" s="45"/>
      <x:c r="C5" s="45"/>
      <x:c r="D5" s="92"/>
      <x:c r="E5" s="45"/>
    </x:row>
    <x:row r="6">
      <x:c r="A6" s="45"/>
      <x:c r="B6" s="45"/>
      <x:c r="C6" s="45"/>
      <x:c r="D6" s="92"/>
      <x:c r="E6" s="45"/>
    </x:row>
    <x:row r="7">
      <x:c r="A7" s="45"/>
      <x:c r="B7" s="45"/>
      <x:c r="C7" s="45"/>
      <x:c r="D7" s="92"/>
      <x:c r="E7" s="45"/>
    </x:row>
    <x:row r="8">
      <x:c r="A8" s="45"/>
      <x:c r="B8" s="45"/>
      <x:c r="C8" s="45"/>
      <x:c r="D8" s="92"/>
      <x:c r="E8" s="45"/>
    </x:row>
    <x:row r="9">
      <x:c r="A9" s="45"/>
      <x:c r="B9" s="45"/>
      <x:c r="C9" s="45"/>
      <x:c r="D9" s="92"/>
      <x:c r="E9" s="45"/>
    </x:row>
    <x:row r="10">
      <x:c r="A10" s="45"/>
      <x:c r="B10" s="45"/>
      <x:c r="C10" s="45"/>
      <x:c r="D10" s="92"/>
      <x:c r="E10" s="45"/>
    </x:row>
    <x:row r="11">
      <x:c r="A11" s="45"/>
      <x:c r="B11" s="45"/>
      <x:c r="C11" s="45"/>
      <x:c r="D11" s="92"/>
      <x:c r="E11" s="45"/>
    </x:row>
    <x:row r="12">
      <x:c r="A12" s="45"/>
      <x:c r="B12" s="45"/>
      <x:c r="C12" s="45"/>
      <x:c r="D12" s="92"/>
      <x:c r="E12" s="45"/>
    </x:row>
    <x:row r="13">
      <x:c r="A13" s="45"/>
      <x:c r="B13" s="45"/>
      <x:c r="C13" s="45"/>
      <x:c r="D13" s="92"/>
      <x:c r="E13" s="45"/>
    </x:row>
    <x:row r="14">
      <x:c r="A14" s="45"/>
      <x:c r="B14" s="45"/>
      <x:c r="C14" s="45"/>
      <x:c r="D14" s="92"/>
      <x:c r="E14" s="45"/>
    </x:row>
    <x:row r="15">
      <x:c r="A15" s="45"/>
      <x:c r="B15" s="45"/>
      <x:c r="C15" s="45"/>
      <x:c r="D15" s="92"/>
      <x:c r="E15" s="45"/>
    </x:row>
    <x:row r="16">
      <x:c r="A16" s="45"/>
      <x:c r="B16" s="45"/>
      <x:c r="C16" s="45"/>
      <x:c r="D16" s="92"/>
      <x:c r="E16" s="45"/>
    </x:row>
    <x:row r="17">
      <x:c r="A17" s="45"/>
      <x:c r="B17" s="45"/>
      <x:c r="C17" s="45"/>
      <x:c r="D17" s="92"/>
      <x:c r="E17" s="45"/>
    </x:row>
    <x:row r="18">
      <x:c r="A18" s="45"/>
      <x:c r="B18" s="45"/>
      <x:c r="C18" s="45"/>
      <x:c r="D18" s="92"/>
      <x:c r="E18" s="45"/>
    </x:row>
    <x:row r="19">
      <x:c r="A19" s="45"/>
      <x:c r="B19" s="45"/>
      <x:c r="C19" s="45"/>
      <x:c r="D19" s="92"/>
      <x:c r="E19" s="45"/>
    </x:row>
    <x:row r="20">
      <x:c r="A20" s="45"/>
      <x:c r="B20" s="45"/>
      <x:c r="C20" s="45"/>
      <x:c r="D20" s="92"/>
      <x:c r="E20" s="45"/>
    </x:row>
    <x:row r="21">
      <x:c r="A21" s="45"/>
      <x:c r="B21" s="45"/>
      <x:c r="C21" s="45"/>
      <x:c r="D21" s="92"/>
      <x:c r="E21" s="45"/>
    </x:row>
    <x:row r="22">
      <x:c r="A22" s="45"/>
      <x:c r="B22" s="45"/>
      <x:c r="C22" s="45"/>
      <x:c r="D22" s="92"/>
      <x:c r="E22" s="45"/>
    </x:row>
    <x:row r="23">
      <x:c r="A23" s="45"/>
      <x:c r="B23" s="45"/>
      <x:c r="C23" s="45"/>
      <x:c r="D23" s="92"/>
      <x:c r="E23" s="45"/>
    </x:row>
    <x:row r="24">
      <x:c r="A24" s="45"/>
      <x:c r="B24" s="45"/>
      <x:c r="C24" s="45"/>
      <x:c r="D24" s="92"/>
      <x:c r="E24" s="45"/>
    </x:row>
  </x:sheetData>
  <x:mergeCells>
    <x:mergeCell ref="A1:E1"/>
    <x:mergeCell ref="A2:E2"/>
  </x:mergeCells>
  <x:dataValidations count="2">
    <x:dataValidation type="list" sqref="A5:A24">
      <x:formula1>"building.player_home,building.residential_house,building.lumber_cabin,building.fishing_hut,building.farm_field,building.market,building.road,building.tree"</x:formula1>
    </x:dataValidation>
    <x:dataValidation type="list" sqref="C5:C24">
      <x:formula1>"金币,泥土,石头,原木,木头,树苗,蔬菜,鱼,黄金鱼"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16" hidden="0" customWidth="1"/>
    <x:col min="4" max="4" width="12" hidden="0" customWidth="1"/>
    <x:col min="5" max="5" width="12" hidden="0" customWidth="1"/>
    <x:col min="6" max="6" width="38" hidden="0" customWidth="1"/>
  </x:cols>
  <x:sheetData>
    <x:row r="1" ht="30" customHeight="1">
      <x:c r="A1" s="3" t="str">
        <x:v>作物：收获产出</x:v>
      </x:c>
      <x:c r="B1" s="3"/>
      <x:c r="C1" s="3"/>
      <x:c r="D1" s="3"/>
      <x:c r="E1" s="3"/>
      <x:c r="F1" s="3"/>
    </x:row>
    <x:row r="2" ht="38" customHeight="1">
      <x:c r="A2" s="7" t="str">
        <x:v>引用模块_作物中的 FamilyId + CropId。一行一种 ItemId，最小/最大数量形成随机区间。</x:v>
      </x:c>
      <x:c r="B2" s="7"/>
      <x:c r="C2" s="7"/>
      <x:c r="D2" s="7"/>
      <x:c r="E2" s="7"/>
      <x:c r="F2" s="7"/>
    </x:row>
    <x:row r="3">
      <x:c r="A3" s="45"/>
      <x:c r="B3" s="45"/>
      <x:c r="C3" s="45"/>
      <x:c r="D3" s="45"/>
      <x:c r="E3" s="45"/>
      <x:c r="F3" s="45"/>
    </x:row>
    <x:row r="4" ht="30" customHeight="1">
      <x:c r="A4" s="66" t="str">
        <x:v>FamilyId</x:v>
      </x:c>
      <x:c r="B4" s="67" t="str">
        <x:v>CropId</x:v>
      </x:c>
      <x:c r="C4" s="67" t="str">
        <x:v>ItemId</x:v>
      </x:c>
      <x:c r="D4" s="67" t="str">
        <x:v>最小数量</x:v>
      </x:c>
      <x:c r="E4" s="67" t="str">
        <x:v>最大数量</x:v>
      </x:c>
      <x:c r="F4" s="68" t="str">
        <x:v>说明</x:v>
      </x:c>
    </x:row>
    <x:row r="5">
      <x:c r="A5" s="45"/>
      <x:c r="B5" s="45"/>
      <x:c r="C5" s="45"/>
      <x:c r="D5" s="92"/>
      <x:c r="E5" s="92"/>
      <x:c r="F5" s="45"/>
    </x:row>
    <x:row r="6">
      <x:c r="A6" s="45"/>
      <x:c r="B6" s="45"/>
      <x:c r="C6" s="45"/>
      <x:c r="D6" s="92"/>
      <x:c r="E6" s="92"/>
      <x:c r="F6" s="45"/>
    </x:row>
    <x:row r="7">
      <x:c r="A7" s="45"/>
      <x:c r="B7" s="45"/>
      <x:c r="C7" s="45"/>
      <x:c r="D7" s="92"/>
      <x:c r="E7" s="92"/>
      <x:c r="F7" s="45"/>
    </x:row>
    <x:row r="8">
      <x:c r="A8" s="45"/>
      <x:c r="B8" s="45"/>
      <x:c r="C8" s="45"/>
      <x:c r="D8" s="92"/>
      <x:c r="E8" s="92"/>
      <x:c r="F8" s="45"/>
    </x:row>
    <x:row r="9">
      <x:c r="A9" s="45"/>
      <x:c r="B9" s="45"/>
      <x:c r="C9" s="45"/>
      <x:c r="D9" s="92"/>
      <x:c r="E9" s="92"/>
      <x:c r="F9" s="45"/>
    </x:row>
    <x:row r="10">
      <x:c r="A10" s="45"/>
      <x:c r="B10" s="45"/>
      <x:c r="C10" s="45"/>
      <x:c r="D10" s="92"/>
      <x:c r="E10" s="92"/>
      <x:c r="F10" s="45"/>
    </x:row>
    <x:row r="11">
      <x:c r="A11" s="45"/>
      <x:c r="B11" s="45"/>
      <x:c r="C11" s="45"/>
      <x:c r="D11" s="92"/>
      <x:c r="E11" s="92"/>
      <x:c r="F11" s="45"/>
    </x:row>
    <x:row r="12">
      <x:c r="A12" s="45"/>
      <x:c r="B12" s="45"/>
      <x:c r="C12" s="45"/>
      <x:c r="D12" s="92"/>
      <x:c r="E12" s="92"/>
      <x:c r="F12" s="45"/>
    </x:row>
    <x:row r="13">
      <x:c r="A13" s="45"/>
      <x:c r="B13" s="45"/>
      <x:c r="C13" s="45"/>
      <x:c r="D13" s="92"/>
      <x:c r="E13" s="92"/>
      <x:c r="F13" s="45"/>
    </x:row>
    <x:row r="14">
      <x:c r="A14" s="45"/>
      <x:c r="B14" s="45"/>
      <x:c r="C14" s="45"/>
      <x:c r="D14" s="92"/>
      <x:c r="E14" s="92"/>
      <x:c r="F14" s="45"/>
    </x:row>
    <x:row r="15">
      <x:c r="A15" s="45"/>
      <x:c r="B15" s="45"/>
      <x:c r="C15" s="45"/>
      <x:c r="D15" s="92"/>
      <x:c r="E15" s="92"/>
      <x:c r="F15" s="45"/>
    </x:row>
    <x:row r="16">
      <x:c r="A16" s="45"/>
      <x:c r="B16" s="45"/>
      <x:c r="C16" s="45"/>
      <x:c r="D16" s="92"/>
      <x:c r="E16" s="92"/>
      <x:c r="F16" s="45"/>
    </x:row>
    <x:row r="17">
      <x:c r="A17" s="45"/>
      <x:c r="B17" s="45"/>
      <x:c r="C17" s="45"/>
      <x:c r="D17" s="92"/>
      <x:c r="E17" s="92"/>
      <x:c r="F17" s="45"/>
    </x:row>
    <x:row r="18">
      <x:c r="A18" s="45"/>
      <x:c r="B18" s="45"/>
      <x:c r="C18" s="45"/>
      <x:c r="D18" s="92"/>
      <x:c r="E18" s="92"/>
      <x:c r="F18" s="45"/>
    </x:row>
    <x:row r="19">
      <x:c r="A19" s="45"/>
      <x:c r="B19" s="45"/>
      <x:c r="C19" s="45"/>
      <x:c r="D19" s="92"/>
      <x:c r="E19" s="92"/>
      <x:c r="F19" s="45"/>
    </x:row>
    <x:row r="20">
      <x:c r="A20" s="45"/>
      <x:c r="B20" s="45"/>
      <x:c r="C20" s="45"/>
      <x:c r="D20" s="92"/>
      <x:c r="E20" s="92"/>
      <x:c r="F20" s="45"/>
    </x:row>
    <x:row r="21">
      <x:c r="A21" s="45"/>
      <x:c r="B21" s="45"/>
      <x:c r="C21" s="45"/>
      <x:c r="D21" s="92"/>
      <x:c r="E21" s="92"/>
      <x:c r="F21" s="45"/>
    </x:row>
    <x:row r="22">
      <x:c r="A22" s="45"/>
      <x:c r="B22" s="45"/>
      <x:c r="C22" s="45"/>
      <x:c r="D22" s="92"/>
      <x:c r="E22" s="92"/>
      <x:c r="F22" s="45"/>
    </x:row>
    <x:row r="23">
      <x:c r="A23" s="45"/>
      <x:c r="B23" s="45"/>
      <x:c r="C23" s="45"/>
      <x:c r="D23" s="92"/>
      <x:c r="E23" s="92"/>
      <x:c r="F23" s="45"/>
    </x:row>
    <x:row r="24">
      <x:c r="A24" s="45"/>
      <x:c r="B24" s="45"/>
      <x:c r="C24" s="45"/>
      <x:c r="D24" s="92"/>
      <x:c r="E24" s="92"/>
      <x:c r="F24" s="45"/>
    </x:row>
  </x:sheetData>
  <x:mergeCells>
    <x:mergeCell ref="A1:F1"/>
    <x:mergeCell ref="A2:F2"/>
  </x:mergeCells>
  <x:dataValidations count="2">
    <x:dataValidation type="list" sqref="A5:A24">
      <x:formula1>"building.player_home,building.residential_house,building.lumber_cabin,building.fishing_hut,building.farm_field,building.market,building.road,building.tree"</x:formula1>
    </x:dataValidation>
    <x:dataValidation type="list" sqref="C5:C24">
      <x:formula1>"金币,泥土,石头,原木,木头,树苗,蔬菜,鱼,黄金鱼"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0" hidden="0" customWidth="1"/>
    <x:col min="4" max="4" width="44" hidden="0" customWidth="1"/>
  </x:cols>
  <x:sheetData>
    <x:row r="1" ht="30" customHeight="1">
      <x:c r="A1" s="3" t="str">
        <x:v>作物：自动收获消耗</x:v>
      </x:c>
      <x:c r="B1" s="3"/>
      <x:c r="C1" s="3"/>
      <x:c r="D1" s="3"/>
    </x:row>
    <x:row r="2" ht="38" customHeight="1">
      <x:c r="A2" s="7" t="str">
        <x:v>模块级自动收获费用，一行一种 ItemId；无费用不写行。</x:v>
      </x:c>
      <x:c r="B2" s="7"/>
      <x:c r="C2" s="7"/>
      <x:c r="D2" s="7"/>
    </x:row>
    <x:row r="3">
      <x:c r="A3" s="45"/>
      <x:c r="B3" s="45"/>
      <x:c r="C3" s="45"/>
      <x:c r="D3" s="45"/>
    </x:row>
    <x:row r="4" ht="30" customHeight="1">
      <x:c r="A4" s="66" t="str">
        <x:v>FamilyId</x:v>
      </x:c>
      <x:c r="B4" s="67" t="str">
        <x:v>ItemId</x:v>
      </x:c>
      <x:c r="C4" s="67" t="str">
        <x:v>数量</x:v>
      </x:c>
      <x:c r="D4" s="68" t="str">
        <x:v>说明</x:v>
      </x:c>
    </x:row>
    <x:row r="5">
      <x:c r="A5" s="45"/>
      <x:c r="B5" s="45"/>
      <x:c r="C5" s="92"/>
      <x:c r="D5" s="45"/>
    </x:row>
    <x:row r="6">
      <x:c r="A6" s="45"/>
      <x:c r="B6" s="45"/>
      <x:c r="C6" s="92"/>
      <x:c r="D6" s="45"/>
    </x:row>
    <x:row r="7">
      <x:c r="A7" s="45"/>
      <x:c r="B7" s="45"/>
      <x:c r="C7" s="92"/>
      <x:c r="D7" s="45"/>
    </x:row>
    <x:row r="8">
      <x:c r="A8" s="45"/>
      <x:c r="B8" s="45"/>
      <x:c r="C8" s="92"/>
      <x:c r="D8" s="45"/>
    </x:row>
    <x:row r="9">
      <x:c r="A9" s="45"/>
      <x:c r="B9" s="45"/>
      <x:c r="C9" s="92"/>
      <x:c r="D9" s="45"/>
    </x:row>
    <x:row r="10">
      <x:c r="A10" s="45"/>
      <x:c r="B10" s="45"/>
      <x:c r="C10" s="92"/>
      <x:c r="D10" s="45"/>
    </x:row>
    <x:row r="11">
      <x:c r="A11" s="45"/>
      <x:c r="B11" s="45"/>
      <x:c r="C11" s="92"/>
      <x:c r="D11" s="45"/>
    </x:row>
    <x:row r="12">
      <x:c r="A12" s="45"/>
      <x:c r="B12" s="45"/>
      <x:c r="C12" s="92"/>
      <x:c r="D12" s="45"/>
    </x:row>
    <x:row r="13">
      <x:c r="A13" s="45"/>
      <x:c r="B13" s="45"/>
      <x:c r="C13" s="92"/>
      <x:c r="D13" s="45"/>
    </x:row>
    <x:row r="14">
      <x:c r="A14" s="45"/>
      <x:c r="B14" s="45"/>
      <x:c r="C14" s="92"/>
      <x:c r="D14" s="45"/>
    </x:row>
    <x:row r="15">
      <x:c r="A15" s="45"/>
      <x:c r="B15" s="45"/>
      <x:c r="C15" s="92"/>
      <x:c r="D15" s="45"/>
    </x:row>
    <x:row r="16">
      <x:c r="A16" s="45"/>
      <x:c r="B16" s="45"/>
      <x:c r="C16" s="92"/>
      <x:c r="D16" s="45"/>
    </x:row>
    <x:row r="17">
      <x:c r="A17" s="45"/>
      <x:c r="B17" s="45"/>
      <x:c r="C17" s="92"/>
      <x:c r="D17" s="45"/>
    </x:row>
    <x:row r="18">
      <x:c r="A18" s="45"/>
      <x:c r="B18" s="45"/>
      <x:c r="C18" s="92"/>
      <x:c r="D18" s="45"/>
    </x:row>
    <x:row r="19">
      <x:c r="A19" s="45"/>
      <x:c r="B19" s="45"/>
      <x:c r="C19" s="92"/>
      <x:c r="D19" s="45"/>
    </x:row>
    <x:row r="20">
      <x:c r="A20" s="45"/>
      <x:c r="B20" s="45"/>
      <x:c r="C20" s="92"/>
      <x:c r="D20" s="45"/>
    </x:row>
    <x:row r="21">
      <x:c r="A21" s="45"/>
      <x:c r="B21" s="45"/>
      <x:c r="C21" s="92"/>
      <x:c r="D21" s="45"/>
    </x:row>
    <x:row r="22">
      <x:c r="A22" s="45"/>
      <x:c r="B22" s="45"/>
      <x:c r="C22" s="92"/>
      <x:c r="D22" s="45"/>
    </x:row>
    <x:row r="23">
      <x:c r="A23" s="45"/>
      <x:c r="B23" s="45"/>
      <x:c r="C23" s="92"/>
      <x:c r="D23" s="45"/>
    </x:row>
    <x:row r="24">
      <x:c r="A24" s="45"/>
      <x:c r="B24" s="45"/>
      <x:c r="C24" s="92"/>
      <x:c r="D24" s="45"/>
    </x:row>
  </x:sheetData>
  <x:mergeCells>
    <x:mergeCell ref="A1:D1"/>
    <x:mergeCell ref="A2:D2"/>
  </x:mergeCells>
  <x:dataValidations count="2">
    <x:dataValidation type="list" sqref="A5:A24">
      <x:formula1>"building.player_home,building.residential_house,building.lumber_cabin,building.fishing_hut,building.farm_field,building.market,building.road,building.tree"</x:formula1>
    </x:dataValidation>
    <x:dataValidation type="list" sqref="B5:B24">
      <x:formula1>"金币,泥土,石头,原木,木头,树苗,蔬菜,鱼,黄金鱼"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6" hidden="0" customWidth="1"/>
    <x:col min="4" max="4" width="44" hidden="0" customWidth="1"/>
    <x:col min="5" max="5" width="48" hidden="0" customWidth="1"/>
    <x:col min="6" max="6" width="14" hidden="0" customWidth="1"/>
  </x:cols>
  <x:sheetData>
    <x:row r="1" ht="30" customHeight="1">
      <x:c r="A1" s="3" t="str">
        <x:v>视觉 Style 回填清单（不参与导入）</x:v>
      </x:c>
      <x:c r="B1" s="3"/>
      <x:c r="C1" s="3"/>
      <x:c r="D1" s="3"/>
      <x:c r="E1" s="3"/>
      <x:c r="F1" s="3"/>
    </x:row>
    <x:row r="2" ht="38" customHeight="1">
      <x:c r="A2" s="7" t="str">
        <x:v>Style 不产生新建筑家族。此表仅帮助策划与美术跟踪菜单名称、Icon 和各等级 View；实际引用仍在 BuildingPresentationDefinition。</x:v>
      </x:c>
      <x:c r="B2" s="7"/>
      <x:c r="C2" s="7"/>
      <x:c r="D2" s="7"/>
      <x:c r="E2" s="7"/>
      <x:c r="F2" s="7"/>
    </x:row>
    <x:row r="3">
      <x:c r="A3" s="45"/>
      <x:c r="B3" s="45"/>
      <x:c r="C3" s="45"/>
      <x:c r="D3" s="45"/>
      <x:c r="E3" s="45"/>
      <x:c r="F3" s="45"/>
    </x:row>
    <x:row r="4" ht="30" customHeight="1">
      <x:c r="A4" s="66" t="str">
        <x:v>FamilyId</x:v>
      </x:c>
      <x:c r="B4" s="67" t="str">
        <x:v>StyleId</x:v>
      </x:c>
      <x:c r="C4" s="67" t="str">
        <x:v>菜单名称</x:v>
      </x:c>
      <x:c r="D4" s="67" t="str">
        <x:v>IconAssetPath</x:v>
      </x:c>
      <x:c r="E4" s="67" t="str">
        <x:v>LV1ViewAssetPath</x:v>
      </x:c>
      <x:c r="F4" s="68" t="str">
        <x:v>回填状态</x:v>
      </x:c>
    </x:row>
    <x:row r="5">
      <x:c r="A5" s="73" t="str">
        <x:v>building.tree</x:v>
      </x:c>
      <x:c r="B5" s="73" t="str">
        <x:v>tree_01</x:v>
      </x:c>
      <x:c r="C5" s="73" t="str">
        <x:v>树木 1</x:v>
      </x:c>
      <x:c r="D5" s="73" t="str"/>
      <x:c r="E5" s="73" t="str"/>
      <x:c r="F5" s="78" t="str">
        <x:f>IF(OR(D5="",E5=""),"待回填","完整")</x:f>
        <x:v>待回填</x:v>
      </x:c>
    </x:row>
    <x:row r="6">
      <x:c r="A6" s="74" t="str">
        <x:v>building.tree</x:v>
      </x:c>
      <x:c r="B6" s="74" t="str">
        <x:v>tree_02</x:v>
      </x:c>
      <x:c r="C6" s="74" t="str">
        <x:v>树木 2</x:v>
      </x:c>
      <x:c r="D6" s="74" t="str"/>
      <x:c r="E6" s="74" t="str"/>
      <x:c r="F6" s="79" t="str">
        <x:f>IF(OR(D6="",E6=""),"待回填","完整")</x:f>
        <x:v>待回填</x:v>
      </x:c>
    </x:row>
    <x:row r="7">
      <x:c r="A7" s="74" t="str">
        <x:v>building.tree</x:v>
      </x:c>
      <x:c r="B7" s="74" t="str">
        <x:v>tree_03</x:v>
      </x:c>
      <x:c r="C7" s="74" t="str">
        <x:v>树木 3</x:v>
      </x:c>
      <x:c r="D7" s="74" t="str"/>
      <x:c r="E7" s="74" t="str"/>
      <x:c r="F7" s="79" t="str">
        <x:f>IF(OR(D7="",E7=""),"待回填","完整")</x:f>
        <x:v>待回填</x:v>
      </x:c>
    </x:row>
    <x:row r="8">
      <x:c r="A8" s="74" t="str">
        <x:v>building.tree</x:v>
      </x:c>
      <x:c r="B8" s="74" t="str">
        <x:v>tree_04</x:v>
      </x:c>
      <x:c r="C8" s="74" t="str">
        <x:v>树木 4</x:v>
      </x:c>
      <x:c r="D8" s="74" t="str"/>
      <x:c r="E8" s="74" t="str"/>
      <x:c r="F8" s="79" t="str">
        <x:f>IF(OR(D8="",E8=""),"待回填","完整")</x:f>
        <x:v>待回填</x:v>
      </x:c>
    </x:row>
    <x:row r="9">
      <x:c r="A9" s="74" t="str">
        <x:v>building.tree</x:v>
      </x:c>
      <x:c r="B9" s="74" t="str">
        <x:v>tree_05</x:v>
      </x:c>
      <x:c r="C9" s="74" t="str">
        <x:v>树木 5</x:v>
      </x:c>
      <x:c r="D9" s="74" t="str"/>
      <x:c r="E9" s="74" t="str"/>
      <x:c r="F9" s="79" t="str">
        <x:f>IF(OR(D9="",E9=""),"待回填","完整")</x:f>
        <x:v>待回填</x:v>
      </x:c>
    </x:row>
    <x:row r="10">
      <x:c r="A10" s="74" t="str">
        <x:v>building.tree</x:v>
      </x:c>
      <x:c r="B10" s="74" t="str">
        <x:v>tree_06</x:v>
      </x:c>
      <x:c r="C10" s="74" t="str">
        <x:v>树木 6</x:v>
      </x:c>
      <x:c r="D10" s="74" t="str"/>
      <x:c r="E10" s="74" t="str"/>
      <x:c r="F10" s="79" t="str">
        <x:f>IF(OR(D10="",E10=""),"待回填","完整")</x:f>
        <x:v>待回填</x:v>
      </x:c>
    </x:row>
    <x:row r="11">
      <x:c r="A11" s="74" t="str">
        <x:v>building.tree</x:v>
      </x:c>
      <x:c r="B11" s="74" t="str">
        <x:v>tree_07</x:v>
      </x:c>
      <x:c r="C11" s="74" t="str">
        <x:v>树木 7</x:v>
      </x:c>
      <x:c r="D11" s="74" t="str"/>
      <x:c r="E11" s="74" t="str"/>
      <x:c r="F11" s="79" t="str">
        <x:f>IF(OR(D11="",E11=""),"待回填","完整")</x:f>
        <x:v>待回填</x:v>
      </x:c>
    </x:row>
    <x:row r="12">
      <x:c r="A12" s="74" t="str">
        <x:v>building.tree</x:v>
      </x:c>
      <x:c r="B12" s="74" t="str">
        <x:v>tree_08</x:v>
      </x:c>
      <x:c r="C12" s="74" t="str">
        <x:v>树木 8</x:v>
      </x:c>
      <x:c r="D12" s="74" t="str"/>
      <x:c r="E12" s="74" t="str"/>
      <x:c r="F12" s="79" t="str">
        <x:f>IF(OR(D12="",E12=""),"待回填","完整")</x:f>
        <x:v>待回填</x:v>
      </x:c>
    </x:row>
  </x:sheetData>
  <x:mergeCells>
    <x:mergeCell ref="A1:F1"/>
    <x:mergeCell ref="A2:F2"/>
  </x:mergeCells>
  <x:conditionalFormatting sqref="F5:F24">
    <x:cfRule type="containsText" dxfId="27" priority="1" operator="containsText" text="通过"/>
    <x:cfRule type="containsText" dxfId="28" priority="2" operator="containsText" text="待"/>
    <x:cfRule type="containsText" dxfId="29" priority="3" operator="containsText" text="错误"/>
  </x:conditionalFormatting>
  <x:dataValidations count="1">
    <x:dataValidation type="list" sqref="A5:A24">
      <x:formula1>"building.player_home,building.residential_house,building.lumber_cabin,building.fishing_hut,building.farm_field,building.market,building.road,building.tree"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74113a98304c3b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40" hidden="0" customWidth="1"/>
    <x:col min="5" max="5" width="12" hidden="0" customWidth="1"/>
  </x:cols>
  <x:sheetData>
    <x:row r="1" ht="30" customHeight="1">
      <x:c r="A1" s="3" t="str">
        <x:v>稳定 ID 与导入权属字典</x:v>
      </x:c>
      <x:c r="B1" s="3"/>
      <x:c r="C1" s="3"/>
      <x:c r="D1" s="3"/>
      <x:c r="E1" s="3"/>
    </x:row>
    <x:row r="2" ht="38" customHeight="1">
      <x:c r="A2" s="7" t="str">
        <x:v>ItemId 与 TechnologyId 必须能在 Unity 项目中唯一解析；显示名称可以变化，稳定 ID 不应随文案调整。</x:v>
      </x:c>
      <x:c r="B2" s="7"/>
      <x:c r="C2" s="7"/>
      <x:c r="D2" s="7"/>
      <x:c r="E2" s="7"/>
    </x:row>
    <x:row r="3">
      <x:c r="A3" s="45"/>
      <x:c r="B3" s="45"/>
      <x:c r="C3" s="45"/>
      <x:c r="D3" s="45"/>
      <x:c r="E3" s="45"/>
    </x:row>
    <x:row r="4" ht="30" customHeight="1">
      <x:c r="A4" s="66" t="str">
        <x:v>类型</x:v>
      </x:c>
      <x:c r="B4" s="67" t="str">
        <x:v>稳定ID/名称</x:v>
      </x:c>
      <x:c r="C4" s="67" t="str">
        <x:v>显示说明</x:v>
      </x:c>
      <x:c r="D4" s="67" t="str">
        <x:v>Unity 解析目标</x:v>
      </x:c>
      <x:c r="E4" s="68" t="str">
        <x:v>是否导入</x:v>
      </x:c>
    </x:row>
    <x:row r="5">
      <x:c r="A5" s="73" t="str">
        <x:v>Category</x:v>
      </x:c>
      <x:c r="B5" s="73" t="str">
        <x:v>人口</x:v>
      </x:c>
      <x:c r="C5" s="73" t="str">
        <x:v>住宅、人口容量与人口服务</x:v>
      </x:c>
      <x:c r="D5" s="73" t="str">
        <x:v>BuildingCategory.人口</x:v>
      </x:c>
      <x:c r="E5" s="73" t="str">
        <x:v>是</x:v>
      </x:c>
    </x:row>
    <x:row r="6">
      <x:c r="A6" s="74" t="str">
        <x:v>Category</x:v>
      </x:c>
      <x:c r="B6" s="74" t="str">
        <x:v>农业</x:v>
      </x:c>
      <x:c r="C6" s="74" t="str">
        <x:v>种植、养殖、捕鱼与食物获取</x:v>
      </x:c>
      <x:c r="D6" s="74" t="str">
        <x:v>BuildingCategory.农业</x:v>
      </x:c>
      <x:c r="E6" s="74" t="str">
        <x:v>是</x:v>
      </x:c>
    </x:row>
    <x:row r="7">
      <x:c r="A7" s="74" t="str">
        <x:v>Category</x:v>
      </x:c>
      <x:c r="B7" s="74" t="str">
        <x:v>工业</x:v>
      </x:c>
      <x:c r="C7" s="74" t="str">
        <x:v>资源采集、加工与制造</x:v>
      </x:c>
      <x:c r="D7" s="74" t="str">
        <x:v>BuildingCategory.工业</x:v>
      </x:c>
      <x:c r="E7" s="74" t="str">
        <x:v>是</x:v>
      </x:c>
    </x:row>
    <x:row r="8">
      <x:c r="A8" s="74" t="str">
        <x:v>Category</x:v>
      </x:c>
      <x:c r="B8" s="74" t="str">
        <x:v>经济</x:v>
      </x:c>
      <x:c r="C8" s="74" t="str">
        <x:v>市场、贸易与财政</x:v>
      </x:c>
      <x:c r="D8" s="74" t="str">
        <x:v>BuildingCategory.经济</x:v>
      </x:c>
      <x:c r="E8" s="74" t="str">
        <x:v>是</x:v>
      </x:c>
    </x:row>
    <x:row r="9">
      <x:c r="A9" s="74" t="str">
        <x:v>Category</x:v>
      </x:c>
      <x:c r="B9" s="74" t="str">
        <x:v>科研</x:v>
      </x:c>
      <x:c r="C9" s="74" t="str">
        <x:v>研究与科技产出</x:v>
      </x:c>
      <x:c r="D9" s="74" t="str">
        <x:v>BuildingCategory.科研</x:v>
      </x:c>
      <x:c r="E9" s="74" t="str">
        <x:v>是</x:v>
      </x:c>
    </x:row>
    <x:row r="10">
      <x:c r="A10" s="74" t="str">
        <x:v>Category</x:v>
      </x:c>
      <x:c r="B10" s="74" t="str">
        <x:v>市政</x:v>
      </x:c>
      <x:c r="C10" s="74" t="str">
        <x:v>治理、公共服务与城市核心</x:v>
      </x:c>
      <x:c r="D10" s="74" t="str">
        <x:v>BuildingCategory.市政</x:v>
      </x:c>
      <x:c r="E10" s="74" t="str">
        <x:v>是</x:v>
      </x:c>
    </x:row>
    <x:row r="11">
      <x:c r="A11" s="74" t="str">
        <x:v>Category</x:v>
      </x:c>
      <x:c r="B11" s="74" t="str">
        <x:v>军事</x:v>
      </x:c>
      <x:c r="C11" s="74" t="str">
        <x:v>防御、驻军与训练</x:v>
      </x:c>
      <x:c r="D11" s="74" t="str">
        <x:v>BuildingCategory.军事</x:v>
      </x:c>
      <x:c r="E11" s="74" t="str">
        <x:v>是</x:v>
      </x:c>
    </x:row>
    <x:row r="12">
      <x:c r="A12" s="74" t="str">
        <x:v>Category</x:v>
      </x:c>
      <x:c r="B12" s="74" t="str">
        <x:v>交通</x:v>
      </x:c>
      <x:c r="C12" s="74" t="str">
        <x:v>道路、运输与通行设施</x:v>
      </x:c>
      <x:c r="D12" s="74" t="str">
        <x:v>BuildingCategory.交通</x:v>
      </x:c>
      <x:c r="E12" s="74" t="str">
        <x:v>是</x:v>
      </x:c>
    </x:row>
    <x:row r="13">
      <x:c r="A13" s="74" t="str">
        <x:v>Category</x:v>
      </x:c>
      <x:c r="B13" s="74" t="str">
        <x:v>装饰</x:v>
      </x:c>
      <x:c r="C13" s="74" t="str">
        <x:v>景观与非核心装饰</x:v>
      </x:c>
      <x:c r="D13" s="74" t="str">
        <x:v>BuildingCategory.装饰</x:v>
      </x:c>
      <x:c r="E13" s="74" t="str">
        <x:v>是</x:v>
      </x:c>
    </x:row>
    <x:row r="14">
      <x:c r="A14" s="74" t="str">
        <x:v>Category</x:v>
      </x:c>
      <x:c r="B14" s="74" t="str">
        <x:v>奇观</x:v>
      </x:c>
      <x:c r="C14" s="74" t="str">
        <x:v>唯一性或里程碑大型建筑</x:v>
      </x:c>
      <x:c r="D14" s="74" t="str">
        <x:v>BuildingCategory.奇观</x:v>
      </x:c>
      <x:c r="E14" s="74" t="str">
        <x:v>是</x:v>
      </x:c>
    </x:row>
    <x:row r="15">
      <x:c r="A15" s="74" t="str">
        <x:v>Item</x:v>
      </x:c>
      <x:c r="B15" s="74" t="str">
        <x:v>金币</x:v>
      </x:c>
      <x:c r="C15" s="74" t="str">
        <x:v>金币</x:v>
      </x:c>
      <x:c r="D15" s="74" t="str">
        <x:v>ItemDefinition.ItemId</x:v>
      </x:c>
      <x:c r="E15" s="74" t="str">
        <x:v>是</x:v>
      </x:c>
    </x:row>
    <x:row r="16">
      <x:c r="A16" s="74" t="str">
        <x:v>Item</x:v>
      </x:c>
      <x:c r="B16" s="74" t="str">
        <x:v>泥土</x:v>
      </x:c>
      <x:c r="C16" s="74" t="str">
        <x:v>泥土</x:v>
      </x:c>
      <x:c r="D16" s="74" t="str">
        <x:v>ItemDefinition.ItemId</x:v>
      </x:c>
      <x:c r="E16" s="74" t="str">
        <x:v>是</x:v>
      </x:c>
    </x:row>
    <x:row r="17">
      <x:c r="A17" s="74" t="str">
        <x:v>Item</x:v>
      </x:c>
      <x:c r="B17" s="74" t="str">
        <x:v>石头</x:v>
      </x:c>
      <x:c r="C17" s="74" t="str">
        <x:v>石头</x:v>
      </x:c>
      <x:c r="D17" s="74" t="str">
        <x:v>ItemDefinition.ItemId</x:v>
      </x:c>
      <x:c r="E17" s="74" t="str">
        <x:v>是</x:v>
      </x:c>
    </x:row>
    <x:row r="18">
      <x:c r="A18" s="74" t="str">
        <x:v>Item</x:v>
      </x:c>
      <x:c r="B18" s="74" t="str">
        <x:v>原木</x:v>
      </x:c>
      <x:c r="C18" s="74" t="str">
        <x:v>原木</x:v>
      </x:c>
      <x:c r="D18" s="74" t="str">
        <x:v>ItemDefinition.ItemId</x:v>
      </x:c>
      <x:c r="E18" s="74" t="str">
        <x:v>是</x:v>
      </x:c>
    </x:row>
    <x:row r="19">
      <x:c r="A19" s="74" t="str">
        <x:v>Item</x:v>
      </x:c>
      <x:c r="B19" s="74" t="str">
        <x:v>木头</x:v>
      </x:c>
      <x:c r="C19" s="74" t="str">
        <x:v>木头</x:v>
      </x:c>
      <x:c r="D19" s="74" t="str">
        <x:v>ItemDefinition.ItemId</x:v>
      </x:c>
      <x:c r="E19" s="74" t="str">
        <x:v>是</x:v>
      </x:c>
    </x:row>
    <x:row r="20">
      <x:c r="A20" s="74" t="str">
        <x:v>Item</x:v>
      </x:c>
      <x:c r="B20" s="74" t="str">
        <x:v>树苗</x:v>
      </x:c>
      <x:c r="C20" s="74" t="str">
        <x:v>树苗</x:v>
      </x:c>
      <x:c r="D20" s="74" t="str">
        <x:v>ItemDefinition.ItemId</x:v>
      </x:c>
      <x:c r="E20" s="74" t="str">
        <x:v>是</x:v>
      </x:c>
    </x:row>
    <x:row r="21">
      <x:c r="A21" s="74" t="str">
        <x:v>Item</x:v>
      </x:c>
      <x:c r="B21" s="74" t="str">
        <x:v>蔬菜</x:v>
      </x:c>
      <x:c r="C21" s="74" t="str">
        <x:v>蔬菜</x:v>
      </x:c>
      <x:c r="D21" s="74" t="str">
        <x:v>ItemDefinition.ItemId</x:v>
      </x:c>
      <x:c r="E21" s="74" t="str">
        <x:v>是</x:v>
      </x:c>
    </x:row>
    <x:row r="22">
      <x:c r="A22" s="74" t="str">
        <x:v>Item</x:v>
      </x:c>
      <x:c r="B22" s="74" t="str">
        <x:v>鱼</x:v>
      </x:c>
      <x:c r="C22" s="74" t="str">
        <x:v>鱼</x:v>
      </x:c>
      <x:c r="D22" s="74" t="str">
        <x:v>ItemDefinition.ItemId</x:v>
      </x:c>
      <x:c r="E22" s="74" t="str">
        <x:v>是</x:v>
      </x:c>
    </x:row>
    <x:row r="23">
      <x:c r="A23" s="74" t="str">
        <x:v>Item</x:v>
      </x:c>
      <x:c r="B23" s="74" t="str">
        <x:v>黄金鱼</x:v>
      </x:c>
      <x:c r="C23" s="74" t="str">
        <x:v>黄金鱼</x:v>
      </x:c>
      <x:c r="D23" s="74" t="str">
        <x:v>ItemDefinition.ItemId</x:v>
      </x:c>
      <x:c r="E23" s="74" t="str">
        <x:v>是</x:v>
      </x:c>
    </x:row>
    <x:row r="24">
      <x:c r="A24" s="74" t="str">
        <x:v>Condition</x:v>
      </x:c>
      <x:c r="B24" s="74" t="str">
        <x:v>none</x:v>
      </x:c>
      <x:c r="C24" s="74" t="str">
        <x:v>无升级条件</x:v>
      </x:c>
      <x:c r="D24" s="74" t="str">
        <x:v>null</x:v>
      </x:c>
      <x:c r="E24" s="74" t="str">
        <x:v>是</x:v>
      </x:c>
    </x:row>
    <x:row r="25">
      <x:c r="A25" s="74" t="str">
        <x:v>Condition</x:v>
      </x:c>
      <x:c r="B25" s="74" t="str">
        <x:v>keep</x:v>
      </x:c>
      <x:c r="C25" s="74" t="str">
        <x:v>保留现有条件（仅现有等级）</x:v>
      </x:c>
      <x:c r="D25" s="74" t="str">
        <x:v>现有 GameCondition</x:v>
      </x:c>
      <x:c r="E25" s="74" t="str">
        <x:v>是</x:v>
      </x:c>
    </x:row>
    <x:row r="26">
      <x:c r="A26" s="74" t="str">
        <x:v>Condition</x:v>
      </x:c>
      <x:c r="B26" s="74" t="str">
        <x:v>technology.TN_3_1_启蒙</x:v>
      </x:c>
      <x:c r="C26" s="74" t="str">
        <x:v>启蒙科技解锁</x:v>
      </x:c>
      <x:c r="D26" s="74" t="str">
        <x:v>GameCondition_TechnologyUnlocked</x:v>
      </x:c>
      <x:c r="E26" s="74" t="str">
        <x:v>是</x:v>
      </x:c>
    </x:row>
    <x:row r="27">
      <x:c r="A27" s="74" t="str">
        <x:v>Presentation</x:v>
      </x:c>
      <x:c r="B27" s="74" t="str">
        <x:v>StyleId</x:v>
      </x:c>
      <x:c r="C27" s="74" t="str">
        <x:v>视觉变体，不产生新家族</x:v>
      </x:c>
      <x:c r="D27" s="74" t="str">
        <x:v>BuildingPresentationDefinition</x:v>
      </x:c>
      <x:c r="E27" s="74" t="str">
        <x:v>否</x:v>
      </x:c>
    </x:row>
    <x:row r="28">
      <x:c r="A28" s="74" t="str">
        <x:v>Presentation</x:v>
      </x:c>
      <x:c r="B28" s="74" t="str">
        <x:v>Icon/View Path</x:v>
      </x:c>
      <x:c r="C28" s="74" t="str">
        <x:v>美术回填清单</x:v>
      </x:c>
      <x:c r="D28" s="74" t="str">
        <x:v>Unity 对象引用</x:v>
      </x:c>
      <x:c r="E28" s="74" t="str">
        <x:v>否</x:v>
      </x:c>
    </x:row>
    <x:row r="29">
      <x:c r="A29" s="74" t="str">
        <x:v>Structure</x:v>
      </x:c>
      <x:c r="B29" s="74" t="str">
        <x:v>ModuleSet</x:v>
      </x:c>
      <x:c r="C29" s="74" t="str">
        <x:v>模块类型和启用状态</x:v>
      </x:c>
      <x:c r="D29" s="74" t="str">
        <x:v>BuildingModuleSetDefinition</x:v>
      </x:c>
      <x:c r="E29" s="74" t="str">
        <x:v>否</x:v>
      </x:c>
    </x:row>
    <x:row r="30">
      <x:c r="A30" s="74" t="str">
        <x:v>Structure</x:v>
      </x:c>
      <x:c r="B30" s="74" t="str">
        <x:v>Runtime Prefab</x:v>
      </x:c>
      <x:c r="C30" s="74" t="str">
        <x:v>组件与层级结构</x:v>
      </x:c>
      <x:c r="D30" s="74" t="str">
        <x:v>Prefab</x:v>
      </x:c>
      <x:c r="E30" s="74" t="str">
        <x:v>否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8418d5735ae4ebf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18" hidden="0" customWidth="1"/>
    <x:col min="5" max="5" width="48" hidden="0" customWidth="1"/>
  </x:cols>
  <x:sheetData>
    <x:row r="1" ht="30" customHeight="1">
      <x:c r="A1" s="3" t="str">
        <x:v>正式源表汇总</x:v>
      </x:c>
      <x:c r="B1" s="3"/>
      <x:c r="C1" s="3"/>
      <x:c r="D1" s="3"/>
      <x:c r="E1" s="3"/>
    </x:row>
    <x:row r="2" ht="38" customHeight="1">
      <x:c r="A2" s="7" t="str">
        <x:v>这里提供快速体检，不替代 Unity 导表器。Unity 会额外检查重复键、物品/科技引用、等级连续性、模块依赖和数值范围。</x:v>
      </x:c>
      <x:c r="B2" s="7"/>
      <x:c r="C2" s="7"/>
      <x:c r="D2" s="7"/>
      <x:c r="E2" s="7"/>
    </x:row>
    <x:row r="3">
      <x:c r="A3" s="45"/>
      <x:c r="B3" s="45"/>
      <x:c r="C3" s="45"/>
      <x:c r="D3" s="45"/>
      <x:c r="E3" s="45"/>
    </x:row>
    <x:row r="4" ht="30" customHeight="1">
      <x:c r="A4" s="66" t="str">
        <x:v>检查项</x:v>
      </x:c>
      <x:c r="B4" s="67" t="str">
        <x:v>当前值</x:v>
      </x:c>
      <x:c r="C4" s="67" t="str">
        <x:v>基准/规则</x:v>
      </x:c>
      <x:c r="D4" s="67" t="str">
        <x:v>状态</x:v>
      </x:c>
      <x:c r="E4" s="68" t="str">
        <x:v>说明</x:v>
      </x:c>
    </x:row>
    <x:row r="5">
      <x:c r="A5" s="73" t="str">
        <x:v>家族数量</x:v>
      </x:c>
      <x:c r="B5" s="80" t="n">
        <x:f>COUNTA('建筑家族'!A5:A24)</x:f>
        <x:v>8</x:v>
      </x:c>
      <x:c r="C5" s="75" t="n">
        <x:v>8</x:v>
      </x:c>
      <x:c r="D5" s="78" t="str">
        <x:f>IF(B5=C5,"通过","待检查")</x:f>
        <x:v>通过</x:v>
      </x:c>
      <x:c r="E5" s="73" t="str">
        <x:v>当前项目正式家族</x:v>
      </x:c>
    </x:row>
    <x:row r="6">
      <x:c r="A6" s="74" t="str">
        <x:v>运营等级数量</x:v>
      </x:c>
      <x:c r="B6" s="81" t="n">
        <x:f>COUNTA('运营等级'!A5:A24)</x:f>
        <x:v>16</x:v>
      </x:c>
      <x:c r="C6" s="76" t="n">
        <x:v>16</x:v>
      </x:c>
      <x:c r="D6" s="79" t="str">
        <x:f>IF(B6=C6,"通过","待检查")</x:f>
        <x:v>通过</x:v>
      </x:c>
      <x:c r="E6" s="74" t="str">
        <x:v>含未开放占位等级</x:v>
      </x:c>
    </x:row>
    <x:row r="7">
      <x:c r="A7" s="74" t="str">
        <x:v>生产档位行数</x:v>
      </x:c>
      <x:c r="B7" s="81" t="n">
        <x:f>COUNTA('等级_生产'!A5:A24)</x:f>
        <x:v>9</x:v>
      </x:c>
      <x:c r="C7" s="76" t="n">
        <x:v>9</x:v>
      </x:c>
      <x:c r="D7" s="79" t="str">
        <x:f>IF(B7=C7,"通过","待检查")</x:f>
        <x:v>通过</x:v>
      </x:c>
      <x:c r="E7" s="74" t="str">
        <x:v>伐木 5 行，捕鱼 4 行</x:v>
      </x:c>
    </x:row>
    <x:row r="8">
      <x:c r="A8" s="74" t="str">
        <x:v>Style 待回填数</x:v>
      </x:c>
      <x:c r="B8" s="81" t="n">
        <x:f>COUNTIF('视觉样式'!F5:F24,"待回填")</x:f>
        <x:v>8</x:v>
      </x:c>
      <x:c r="C8" s="76" t="n">
        <x:v>0</x:v>
      </x:c>
      <x:c r="D8" s="79" t="str">
        <x:f>IF(B8=C8,"通过","待检查")</x:f>
        <x:v>待检查</x:v>
      </x:c>
      <x:c r="E8" s="74" t="str">
        <x:v>美术回填不阻止数值导入</x:v>
      </x:c>
    </x:row>
    <x:row r="9">
      <x:c r="A9" s="74" t="str">
        <x:v>SchemaVersion</x:v>
      </x:c>
      <x:c r="B9" s="81" t="n">
        <x:f>'说明'!B4</x:f>
        <x:v>2</x:v>
      </x:c>
      <x:c r="C9" s="76" t="n">
        <x:v>2</x:v>
      </x:c>
      <x:c r="D9" s="79" t="str">
        <x:f>IF(B9=C9,"通过","待检查")</x:f>
        <x:v>通过</x:v>
      </x:c>
      <x:c r="E9" s="74" t="str">
        <x:v>分类枚举已迁移为十类；必须与 Unity 导表器一致</x:v>
      </x:c>
    </x:row>
  </x:sheetData>
  <x:mergeCells>
    <x:mergeCell ref="A1:E1"/>
    <x:mergeCell ref="A2:E2"/>
  </x:mergeCells>
  <x:conditionalFormatting sqref="D5:D9">
    <x:cfRule type="containsText" dxfId="30" priority="1" operator="containsText" text="通过"/>
    <x:cfRule type="containsText" dxfId="31" priority="2" operator="containsText" text="待"/>
    <x:cfRule type="containsText" dxfId="32" priority="3" operator="containsText" text="错误"/>
  </x:conditionalFormatting>
  <x:pageMargins left="0.7" right="0.7" top="0.75" bottom="0.75" header="0.3" footer="0.3"/>
  <x:tableParts count="1">
    <x:tablePart xmlns:r="http://schemas.openxmlformats.org/officeDocument/2006/relationships" r:id="R4f3e326638bf462d"/>
  </x:tableParts>
</x:worksheet>
</file>