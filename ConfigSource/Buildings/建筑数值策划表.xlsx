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firstSheet="6" activeTab="7"/>
  </bookViews>
  <sheets>
    <sheet name="说明" sheetId="1" r:id="rId1"/>
    <sheet name="建筑家族" sheetId="2" r:id="rId2"/>
    <sheet name="放置消耗" sheetId="3" r:id="rId3"/>
    <sheet name="施工消耗" sheetId="4" r:id="rId4"/>
    <sheet name="运营等级" sheetId="5" r:id="rId5"/>
    <sheet name="升级消耗" sheetId="6" r:id="rId6"/>
    <sheet name="等级_固定人口" sheetId="7" r:id="rId7"/>
    <sheet name="等级_库存容量" sheetId="8" r:id="rId8"/>
    <sheet name="等级_科技点" sheetId="9" r:id="rId9"/>
    <sheet name="等级_住宅" sheetId="10" r:id="rId10"/>
    <sheet name="等级_岗位" sheetId="11" r:id="rId11"/>
    <sheet name="等级_生产" sheetId="12" r:id="rId12"/>
    <sheet name="等级_捕鱼稀有" sheetId="13" r:id="rId13"/>
    <sheet name="等级_仓库" sheetId="14" r:id="rId14"/>
    <sheet name="模块_市场" sheetId="15" r:id="rId15"/>
    <sheet name="模块_树木" sheetId="16" r:id="rId16"/>
    <sheet name="模块_范围效果" sheetId="17" r:id="rId17"/>
    <sheet name="模块_作物" sheetId="18" r:id="rId18"/>
    <sheet name="作物_种植消耗" sheetId="19" r:id="rId19"/>
    <sheet name="作物_收获产出" sheetId="20" r:id="rId20"/>
    <sheet name="作物_自动收获" sheetId="21" r:id="rId21"/>
    <sheet name="视觉样式" sheetId="22" r:id="rId22"/>
    <sheet name="数据字典" sheetId="23" r:id="rId23"/>
    <sheet name="汇总检查" sheetId="24" r:id="rId24"/>
    <sheet name="施工产出" sheetId="25" r:id="rId25"/>
    <sheet name="等级_维护费" sheetId="26" r:id="rId26"/>
    <sheet name="科技_全局生产Buff" sheetId="27" r:id="rId27"/>
    <sheet name="等级_运营经验" sheetId="28" r:id="rId28"/>
    <sheet name="科技_全局库存Buff" sheetId="29" r:id="rId29"/>
    <sheet name="模块_有限采集" sheetId="30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<sst xmlns="http://schemas.openxmlformats.org/spreadsheetml/2006/main" count="1534" uniqueCount="588">
  <si>
    <t>建筑正式数值配置表</t>
  </si>
  <si>
    <t>黄色单元格是策划输入，蓝色单元格是公式/检查。Unity 导表器是最终校验权威；任一错误会阻止整次导入。</t>
  </si>
  <si>
    <t>SchemaVersion</t>
  </si>
  <si>
    <t>正式源路径</t>
  </si>
  <si>
    <t>ConfigSource/Buildings/建筑数值策划表.xlsx（项目根目录，不进入 AssetDatabase）</t>
  </si>
  <si>
    <t>当前家族数</t>
  </si>
  <si>
    <t>当前运营等级数</t>
  </si>
  <si>
    <t>核心组合键</t>
  </si>
  <si>
    <t>FamilyId + Level；作物增加 CropId；范围效果增加 EffectId，并可按生效 Level + 最低工人分档；视觉增加 StyleId</t>
  </si>
  <si>
    <t>数据权属</t>
  </si>
  <si>
    <t>Excel 导入</t>
  </si>
  <si>
    <t>建筑公共数值、蓝图自动条件、地形覆盖要求、放置/施工消耗与产出、升级、岗位/维护费/运营经验、等级配置、居民饮食、建筑提供的库存槽位类型与数量、全局生产 Buff、仓库/市场/树木/有限采集/范围效果/作物模块默认值</t>
  </si>
  <si>
    <t>Unity 维护</t>
  </si>
  <si>
    <t>Runtime Prefab 结构、ModuleSet 模块结构、Presentation、图标/View、复杂非科技条件</t>
  </si>
  <si>
    <t>Prefab 标量</t>
  </si>
  <si>
    <t>导表器只更新资源提供点、资源优先级、行动力预算三个数据字段，不添加/删除组件</t>
  </si>
  <si>
    <t>ItemId</t>
  </si>
  <si>
    <t>Excel 使用 ItemId；导入器解析后写入真实 ItemDefinition 引用</t>
  </si>
  <si>
    <t>槽位类型</t>
  </si>
  <si>
    <t>建筑表只选择 InventorySlotType 和数量；槽位基础损耗、物品组修正及自动存放优先级由库存系统数值表管理</t>
  </si>
  <si>
    <t>视觉样式</t>
  </si>
  <si>
    <t>视觉样式工作表仅作美术回填清单，不参与数值导入，不会清空已有表现资源</t>
  </si>
  <si>
    <t>策划流程</t>
  </si>
  <si>
    <t>1</t>
  </si>
  <si>
    <t>在对应专表修改黄色输入字段；不要改工作表名、第 4 行列名或 SchemaVersion 位置。</t>
  </si>
  <si>
    <t>2</t>
  </si>
  <si>
    <t>回到 Unity：Landsong / Building / 建筑数值导表工具。</t>
  </si>
  <si>
    <t>3</t>
  </si>
  <si>
    <t>点击“重新读取并校验”，先修复全部错误。警告可根据内容判断。</t>
  </si>
  <si>
    <t>4</t>
  </si>
  <si>
    <t>确认影响预览后执行导入；导入支持一次 Undo。</t>
  </si>
  <si>
    <t>5</t>
  </si>
  <si>
    <t>新增建筑或模块结构仍先用建筑编辑器创建，再补本表数据。未知 FamilyId 不会自动创建资产。</t>
  </si>
  <si>
    <t>建筑家族（公共数值）</t>
  </si>
  <si>
    <t>一行一个现有 FamilyId。地形Keys 要求占地每格满足；占地内至少一格Keys 用于石矿等覆盖层；蓝图科技关系配置在本表。</t>
  </si>
  <si>
    <t>FamilyId</t>
  </si>
  <si>
    <t>名称</t>
  </si>
  <si>
    <t>分类</t>
  </si>
  <si>
    <t>SizeX</t>
  </si>
  <si>
    <t>SizeY</t>
  </si>
  <si>
    <t>忽略地形</t>
  </si>
  <si>
    <t>地形Keys</t>
  </si>
  <si>
    <t>移动阻力</t>
  </si>
  <si>
    <t>施工回合</t>
  </si>
  <si>
    <t>数量上限</t>
  </si>
  <si>
    <t>数量限制分组ID</t>
  </si>
  <si>
    <t>蓝图初始锁定</t>
  </si>
  <si>
    <t>锁定时隐藏</t>
  </si>
  <si>
    <t>菜单排序</t>
  </si>
  <si>
    <t>开发完成</t>
  </si>
  <si>
    <t>资源提供点</t>
  </si>
  <si>
    <t>资源提供优先级</t>
  </si>
  <si>
    <t>行动力预算</t>
  </si>
  <si>
    <t>说明</t>
  </si>
  <si>
    <t>占地内至少一格Keys</t>
  </si>
  <si>
    <t>蓝图解锁ConditionId</t>
  </si>
  <si>
    <t>building.player_home</t>
  </si>
  <si>
    <t>王宫</t>
  </si>
  <si>
    <t>市政</t>
  </si>
  <si>
    <t>否</t>
  </si>
  <si>
    <t>陆地</t>
  </si>
  <si>
    <t>是</t>
  </si>
  <si>
    <t>显示条件由 Unity 维护为隐藏；提供固定人口、库存与科技点</t>
  </si>
  <si>
    <t/>
  </si>
  <si>
    <t>none</t>
  </si>
  <si>
    <t>building.residential_house</t>
  </si>
  <si>
    <t>居民房</t>
  </si>
  <si>
    <t>人口</t>
  </si>
  <si>
    <t>放置后经历 3 个施工阶段</t>
  </si>
  <si>
    <t>building.lumber_cabin</t>
  </si>
  <si>
    <t>伐木小屋</t>
  </si>
  <si>
    <t>工业</t>
  </si>
  <si>
    <t>岗位 + 普通生产</t>
  </si>
  <si>
    <t>technology.TN_3_1_启蒙</t>
  </si>
  <si>
    <t>building.fishing_hut</t>
  </si>
  <si>
    <t>捕鱼小屋</t>
  </si>
  <si>
    <t>农业</t>
  </si>
  <si>
    <t>岗位 + 普通生产 + 稀有产出</t>
  </si>
  <si>
    <t>building.farm_field</t>
  </si>
  <si>
    <t>农田</t>
  </si>
  <si>
    <t>岗位 + 作物种植；正式作物为小麦和白菜</t>
  </si>
  <si>
    <t>building.market</t>
  </si>
  <si>
    <t>市场</t>
  </si>
  <si>
    <t>经济</t>
  </si>
  <si>
    <t>满岗位时作为资源提供点并按价值结算金币</t>
  </si>
  <si>
    <t>building.warehouse</t>
  </si>
  <si>
    <t>仓库</t>
  </si>
  <si>
    <t>人口|经济|工业</t>
  </si>
  <si>
    <t>动态库存容量；维护费、经验和岗位阈值见等级_仓库</t>
  </si>
  <si>
    <t>building.road</t>
  </si>
  <si>
    <t>泥路</t>
  </si>
  <si>
    <t>交通</t>
  </si>
  <si>
    <t>移动阻力 5</t>
  </si>
  <si>
    <t>building.tree</t>
  </si>
  <si>
    <t>树木</t>
  </si>
  <si>
    <t>装饰</t>
  </si>
  <si>
    <t>一个家族，八个视觉 Style</t>
  </si>
  <si>
    <t>building.sculpture</t>
  </si>
  <si>
    <t>雕塑</t>
  </si>
  <si>
    <t>蓝图由 TN_4_3_石工术解锁；女神/神鹿两个 Style 共用四邻格美化规则</t>
  </si>
  <si>
    <t>technology.TN_4_3_石工术</t>
  </si>
  <si>
    <t>building.quarry</t>
  </si>
  <si>
    <t>采石场</t>
  </si>
  <si>
    <t>陆地|石矿</t>
  </si>
  <si>
    <t>3×3 的每个占地格都必须同时是陆地和石矿；采矿解锁蓝图；岗位、维护费与生产见等级专表</t>
  </si>
  <si>
    <t>technology.TN_5_3_采矿</t>
  </si>
  <si>
    <t>building.hospital</t>
  </si>
  <si>
    <t>医院</t>
  </si>
  <si>
    <t>人口|市政</t>
  </si>
  <si>
    <t>2×2 公共服务建筑；岗位、维护费、运营经验与分档医疗范围见等级专表</t>
  </si>
  <si>
    <t>building.police_station</t>
  </si>
  <si>
    <t>警局</t>
  </si>
  <si>
    <t>2×2 市政服务建筑；法律解锁蓝图；岗位、维护费、运营经验与分档治安范围见等级专表</t>
  </si>
  <si>
    <t>technology.TN_1_5_法律</t>
  </si>
  <si>
    <t>building.granary</t>
  </si>
  <si>
    <t>粮仓</t>
  </si>
  <si>
    <t>农业解锁蓝图；岗位、维护费、经验与粮库槽位见等级_仓库</t>
  </si>
  <si>
    <t>technology.TN_2_2_农业</t>
  </si>
  <si>
    <t>building.small_dirt_pile</t>
  </si>
  <si>
    <t>小土堆</t>
  </si>
  <si>
    <t>地图资源节点；Unity 显示条件隐藏。每次成功双击获得 10 泥土，共 3 次</t>
  </si>
  <si>
    <t>building.small_stone_pile</t>
  </si>
  <si>
    <t>小石堆</t>
  </si>
  <si>
    <t>地图资源节点；Unity 显示条件隐藏。每次成功双击获得 10 石头，共 3 次</t>
  </si>
  <si>
    <t>放置消耗</t>
  </si>
  <si>
    <t>确认放置时一次性扣除。一行一种 ItemId；无费用的建筑不写占位行。</t>
  </si>
  <si>
    <t>数量</t>
  </si>
  <si>
    <t>金币</t>
  </si>
  <si>
    <t>放下施工实例时支付</t>
  </si>
  <si>
    <t>石头</t>
  </si>
  <si>
    <t>原木</t>
  </si>
  <si>
    <t>所有 Tree Style 共用</t>
  </si>
  <si>
    <t>树苗</t>
  </si>
  <si>
    <t>确认放置时支付</t>
  </si>
  <si>
    <t>逐回合施工消耗</t>
  </si>
  <si>
    <t>回合序号从 1 开始，不能超过建筑家族表中的施工回合。空施工回合不写费用行。</t>
  </si>
  <si>
    <t>回合序号</t>
  </si>
  <si>
    <t>泥土</t>
  </si>
  <si>
    <t>第 1 施工阶段</t>
  </si>
  <si>
    <t>第 2 施工阶段</t>
  </si>
  <si>
    <t>第 3 施工阶段</t>
  </si>
  <si>
    <t>第 1 施工阶段（粘土资产的稳定 ItemId 为泥土）</t>
  </si>
  <si>
    <t>第 2 施工阶段（木材映射为基础资源原木）</t>
  </si>
  <si>
    <t>木头</t>
  </si>
  <si>
    <t>第 2 施工阶段；项目木材稳定 ItemId 为木头</t>
  </si>
  <si>
    <t>运营等级与升级条件</t>
  </si>
  <si>
    <t>一行一个 FamilyId + Level，必须从 LV1 连续。ConditionId 支持 none、keep、technology.&lt;TechnologyId&gt;。</t>
  </si>
  <si>
    <t>Level</t>
  </si>
  <si>
    <t>开放</t>
  </si>
  <si>
    <t>ConditionId</t>
  </si>
  <si>
    <t>施工完成进入 LV1</t>
  </si>
  <si>
    <t>占位等级，开放前需补条件与数值</t>
  </si>
  <si>
    <t>占位等级</t>
  </si>
  <si>
    <t>满足科技并支付升级费用</t>
  </si>
  <si>
    <t>施工完成进入 LV1；30 EXP 后可升 LV2</t>
  </si>
  <si>
    <t>technology.TN_4_5_轮子</t>
  </si>
  <si>
    <t>累计 50 EXP 后可升 LV3；科技条件待策划回填</t>
  </si>
  <si>
    <t>technology.TN_2_10_经济理论</t>
  </si>
  <si>
    <t>最高等级；5 工人额外提供 1 库存格</t>
  </si>
  <si>
    <t>施工完成进入 LV1，无后续升级</t>
  </si>
  <si>
    <t>technology.TN_5_10_火药</t>
  </si>
  <si>
    <t>解锁火药后允许升级 LV2</t>
  </si>
  <si>
    <t>technology.TN_4_17_机械化</t>
  </si>
  <si>
    <t>解锁机械化后允许升级 LV3</t>
  </si>
  <si>
    <t>3 工人且维护成功时每回合 +1 EXP；累计 30 EXP 可升级</t>
  </si>
  <si>
    <t>technology.TN_2_6_医学</t>
  </si>
  <si>
    <t>医学解锁；8 工人且维护成功时每回合 +1 EXP；累计 100 EXP 可升级</t>
  </si>
  <si>
    <t>technology.TN_2_13_生物学</t>
  </si>
  <si>
    <t>生物学解锁；最高等级</t>
  </si>
  <si>
    <t>technology.TN_2_8_教育制度</t>
  </si>
  <si>
    <t>教育制度解锁；8 工人且维护成功时每回合 +1 EXP；累计 100 EXP 可升级</t>
  </si>
  <si>
    <t>technology.TN_4_15_信息化</t>
  </si>
  <si>
    <t>信息化解锁；最高等级</t>
  </si>
  <si>
    <t>施工完成进入 LV1；累计 30 EXP 后可升 LV2</t>
  </si>
  <si>
    <t>无额外科技条件；累计 50 EXP 后可升 LV3</t>
  </si>
  <si>
    <t>最高等级；5 工人永久额外提供 1 个粮库槽</t>
  </si>
  <si>
    <t>地图初始建筑以运营态创建；无升级</t>
  </si>
  <si>
    <t>升级消耗（目标等级口径）</t>
  </si>
  <si>
    <t>费用写在升入的目标等级上。LV1 不允许写升级费用。</t>
  </si>
  <si>
    <t>目标Level</t>
  </si>
  <si>
    <t>需同时满足 technology.TN_3_1_启蒙</t>
  </si>
  <si>
    <t>需同时满足 30 EXP 与 technology.TN_2_6_医学</t>
  </si>
  <si>
    <t>需同时满足 100 EXP 与 technology.TN_2_13_生物学</t>
  </si>
  <si>
    <t>需同时满足 30 EXP 与 technology.TN_2_8_教育制度</t>
  </si>
  <si>
    <t>需同时满足 100 EXP 与 technology.TN_4_15_信息化</t>
  </si>
  <si>
    <t>等级配置：固定人口</t>
  </si>
  <si>
    <t>对应 PlayerHomeLevelConfiguration；只允许拥有 population.fixed 模块的家族填写。</t>
  </si>
  <si>
    <t>提供人口</t>
  </si>
  <si>
    <t>校验</t>
  </si>
  <si>
    <t>等级配置：库存容量</t>
  </si>
  <si>
    <t>对应 BuildingInventoryLevelConfiguration；建筑只配置提供格数和槽位类型，库存规则由 InventorySlotTypeCatalog 解析。</t>
  </si>
  <si>
    <t>提供库存格</t>
  </si>
  <si>
    <t>简陋库存</t>
  </si>
  <si>
    <t>普通库存</t>
  </si>
  <si>
    <t>高级库存</t>
  </si>
  <si>
    <t>等级配置：科技点</t>
  </si>
  <si>
    <t>对应 BuildingTechnologyPointLevelConfiguration；每个成功回合注入当前研究。</t>
  </si>
  <si>
    <t>科技点/回合</t>
  </si>
  <si>
    <t>等级配置：居民运营</t>
  </si>
  <si>
    <t>对应 ResidentialHousingLevelConfiguration。人口、食物组、饮食选择和生活质量均属于住宅建筑配置；Item/ItemGroup 定义仍由库存系统数值表提供。</t>
  </si>
  <si>
    <t>初始人口</t>
  </si>
  <si>
    <t>人口上限</t>
  </si>
  <si>
    <t>FoodItemId</t>
  </si>
  <si>
    <t>增长回合</t>
  </si>
  <si>
    <t>失败衰减阈值</t>
  </si>
  <si>
    <t>TaxItemId</t>
  </si>
  <si>
    <t>税收回合</t>
  </si>
  <si>
    <t>满人口食物/回合</t>
  </si>
  <si>
    <t>FoodGroupId</t>
  </si>
  <si>
    <t>选择策略</t>
  </si>
  <si>
    <t>目标饮食种类</t>
  </si>
  <si>
    <t>生活质量变化/回合</t>
  </si>
  <si>
    <t>高质量增长阈值</t>
  </si>
  <si>
    <t>蔬菜</t>
  </si>
  <si>
    <t>food.vegetable</t>
  </si>
  <si>
    <t>PreferVariety</t>
  </si>
  <si>
    <t>等级配置：岗位运营</t>
  </si>
  <si>
    <t>对应 BuildingWorkforceLevelConfiguration。每个拥有 workforce 模块的运营等级必须恰好一行。</t>
  </si>
  <si>
    <t>最大工人</t>
  </si>
  <si>
    <t>初始工人</t>
  </si>
  <si>
    <t>基础吸引力</t>
  </si>
  <si>
    <t>招工金币</t>
  </si>
  <si>
    <t>自动补贴</t>
  </si>
  <si>
    <t>稳定目标工人</t>
  </si>
  <si>
    <t>GoldItemId</t>
  </si>
  <si>
    <t>等级配置：资源产出</t>
  </si>
  <si>
    <t>一行一个 FamilyId + Level + OutputItemId + 工人阈值。同一等级的周期回合必须一致；产量/回合是公式，不参与导入。</t>
  </si>
  <si>
    <t>OutputItemId</t>
  </si>
  <si>
    <t>工人阈值</t>
  </si>
  <si>
    <t>产量/周期</t>
  </si>
  <si>
    <t>周期回合</t>
  </si>
  <si>
    <t>产量/回合</t>
  </si>
  <si>
    <t>鱼</t>
  </si>
  <si>
    <t>等级配置：捕鱼稀有产出</t>
  </si>
  <si>
    <t>对应 FishingHutLevelConfiguration / BM_稀有产出。禁用时仍可保留 ItemId 作为未来占位。</t>
  </si>
  <si>
    <t>启用</t>
  </si>
  <si>
    <t>最低工人</t>
  </si>
  <si>
    <t>概率%</t>
  </si>
  <si>
    <t>黄金鱼</t>
  </si>
  <si>
    <t>等级配置：仓库运营</t>
  </si>
  <si>
    <t>对应 WarehouseLevelConfiguration / BM_仓库运营。基础槽位始终存在；工人不足或维护失败只产生运行时损耗倍率。建筑表配置基础/奖励槽位类型，库存系统解析该类型的固定规则。</t>
  </si>
  <si>
    <t>正常仓储所需工人</t>
  </si>
  <si>
    <t>基础库存格</t>
  </si>
  <si>
    <t>MaintenanceItemId</t>
  </si>
  <si>
    <t>维护费/回合</t>
  </si>
  <si>
    <t>经验所需工人</t>
  </si>
  <si>
    <t>经验/回合</t>
  </si>
  <si>
    <t>下级经验要求</t>
  </si>
  <si>
    <t>奖励工人阈值</t>
  </si>
  <si>
    <t>奖励库存格</t>
  </si>
  <si>
    <t>维护失败吸引力惩罚</t>
  </si>
  <si>
    <t>基础槽位类型</t>
  </si>
  <si>
    <t>奖励槽位类型</t>
  </si>
  <si>
    <t>粮库</t>
  </si>
  <si>
    <t>模块默认值：市场资源结算</t>
  </si>
  <si>
    <t>模块级配置，不随运营等级变化。价值结算比例以小数填写：0.1 表示 10%。</t>
  </si>
  <si>
    <t>价值结算比例</t>
  </si>
  <si>
    <t>显示比例</t>
  </si>
  <si>
    <t>模块默认值：树木采集</t>
  </si>
  <si>
    <t>模块级配置，不随运营等级或 Style 变化。平均生命与预计双击次数为策划分析公式。</t>
  </si>
  <si>
    <t>最低生命</t>
  </si>
  <si>
    <t>最高生命</t>
  </si>
  <si>
    <t>双击伤害</t>
  </si>
  <si>
    <t>WoodItemId</t>
  </si>
  <si>
    <t>原木奖励</t>
  </si>
  <si>
    <t>SaplingItemId</t>
  </si>
  <si>
    <t>树苗奖励</t>
  </si>
  <si>
    <t>平均生命</t>
  </si>
  <si>
    <t>预计双击次数</t>
  </si>
  <si>
    <t>模块默认值：范围效果</t>
  </si>
  <si>
    <t>一行一个 FamilyId + EffectId。Unity 中先创建效果资产并挂入 ModuleSet；本表管理生效等级、最低工人、范围、数值和叠加规则。</t>
  </si>
  <si>
    <t>EffectId</t>
  </si>
  <si>
    <t>显示名</t>
  </si>
  <si>
    <t>Kind</t>
  </si>
  <si>
    <t>TargetFilter</t>
  </si>
  <si>
    <t>生效Level</t>
  </si>
  <si>
    <t>曼哈顿半径</t>
  </si>
  <si>
    <t>效果数值</t>
  </si>
  <si>
    <t>StackingRule</t>
  </si>
  <si>
    <t>影响自身占地</t>
  </si>
  <si>
    <t>覆盖格说明</t>
  </si>
  <si>
    <t>beauty.tree</t>
  </si>
  <si>
    <t>树木美化</t>
  </si>
  <si>
    <t>beauty</t>
  </si>
  <si>
    <t>cell</t>
  </si>
  <si>
    <t>highest_value</t>
  </si>
  <si>
    <t>beauty.sculpture</t>
  </si>
  <si>
    <t>雕塑美化</t>
  </si>
  <si>
    <t>medical.hospital.lv1.2_workers</t>
  </si>
  <si>
    <t>医院 LV1 基础医疗</t>
  </si>
  <si>
    <t>medical</t>
  </si>
  <si>
    <t>medical.hospital.lv1.4_workers</t>
  </si>
  <si>
    <t>医院 LV1 满岗医疗</t>
  </si>
  <si>
    <t>medical.hospital.lv2.4_workers</t>
  </si>
  <si>
    <t>医院 LV2 基础医疗</t>
  </si>
  <si>
    <t>medical.hospital.lv2.8_workers</t>
  </si>
  <si>
    <t>医院 LV2 满岗医疗</t>
  </si>
  <si>
    <t>medical.hospital.lv3.8_workers</t>
  </si>
  <si>
    <t>医院 LV3 基础医疗</t>
  </si>
  <si>
    <t>medical.hospital.lv3.16_workers</t>
  </si>
  <si>
    <t>医院 LV3 满岗医疗</t>
  </si>
  <si>
    <t>security.police_station.lv1.2_workers</t>
  </si>
  <si>
    <t>警局 LV1 基础治安</t>
  </si>
  <si>
    <t>security</t>
  </si>
  <si>
    <t>security.police_station.lv1.4_workers</t>
  </si>
  <si>
    <t>警局 LV1 满岗治安</t>
  </si>
  <si>
    <t>security.police_station.lv2.4_workers</t>
  </si>
  <si>
    <t>警局 LV2 基础治安</t>
  </si>
  <si>
    <t>security.police_station.lv2.8_workers</t>
  </si>
  <si>
    <t>警局 LV2 满岗治安</t>
  </si>
  <si>
    <t>security.police_station.lv3.8_workers</t>
  </si>
  <si>
    <t>警局 LV3 基础治安</t>
  </si>
  <si>
    <t>security.police_station.lv3.16_workers</t>
  </si>
  <si>
    <t>警局 LV3 满岗治安</t>
  </si>
  <si>
    <t>模块默认值：作物定义</t>
  </si>
  <si>
    <t>一行一个 FamilyId + CropId；图标继续在 Unity 中按 CropId 维护，导入不会覆盖。</t>
  </si>
  <si>
    <t>CropId</t>
  </si>
  <si>
    <t>成熟回合</t>
  </si>
  <si>
    <t>crop.wheat</t>
  </si>
  <si>
    <t>小麦</t>
  </si>
  <si>
    <t>消耗 1 小麦播种，成熟后收获小麦</t>
  </si>
  <si>
    <t>crop.cabbage</t>
  </si>
  <si>
    <t>白菜</t>
  </si>
  <si>
    <t>消耗 1 白菜播种，成熟后收获白菜</t>
  </si>
  <si>
    <t>作物：种植消耗</t>
  </si>
  <si>
    <t>引用模块_作物中的 FamilyId + CropId。一行一种 ItemId；无消耗不写行。</t>
  </si>
  <si>
    <t>播种消耗 1 份小麦</t>
  </si>
  <si>
    <t>播种消耗 1 份白菜</t>
  </si>
  <si>
    <t>作物：收获产出</t>
  </si>
  <si>
    <t>引用模块_作物中的 FamilyId + CropId。一行一种 ItemId，最小/最大数量形成随机区间。</t>
  </si>
  <si>
    <t>最小数量</t>
  </si>
  <si>
    <t>最大数量</t>
  </si>
  <si>
    <t>成熟后手动或自动收获</t>
  </si>
  <si>
    <t>作物：自动收获消耗</t>
  </si>
  <si>
    <t>模块级自动收获费用，一行一种 ItemId；无费用不写行。</t>
  </si>
  <si>
    <t>视觉 Style 回填清单（不参与导入）</t>
  </si>
  <si>
    <t>Style 不产生新建筑家族。此表仅帮助策划与美术跟踪菜单名称、Icon 和各等级 View；实际引用仍在 BuildingPresentationDefinition。</t>
  </si>
  <si>
    <t>StyleId</t>
  </si>
  <si>
    <t>菜单名称</t>
  </si>
  <si>
    <t>IconAssetPath</t>
  </si>
  <si>
    <t>LV1ViewAssetPath</t>
  </si>
  <si>
    <t>回填状态</t>
  </si>
  <si>
    <t>tree_01</t>
  </si>
  <si>
    <t>树木 1</t>
  </si>
  <si>
    <t>Assets/Landsong/Art/Sprites/树木/树1.png</t>
  </si>
  <si>
    <t>Assets/Landsong/Objects/Prefabs/BuildingViews/树/树 (1).prefab</t>
  </si>
  <si>
    <t>tree_02</t>
  </si>
  <si>
    <t>树木 2</t>
  </si>
  <si>
    <t>Assets/Landsong/Art/Sprites/树木/树2.png</t>
  </si>
  <si>
    <t>Assets/Landsong/Objects/Prefabs/BuildingViews/树/树 (2).prefab</t>
  </si>
  <si>
    <t>tree_03</t>
  </si>
  <si>
    <t>树木 3</t>
  </si>
  <si>
    <t>Assets/Landsong/Art/Sprites/树木/树3.png</t>
  </si>
  <si>
    <t>Assets/Landsong/Objects/Prefabs/BuildingViews/树/树 (3).prefab</t>
  </si>
  <si>
    <t>tree_04</t>
  </si>
  <si>
    <t>树木 4</t>
  </si>
  <si>
    <t>Assets/Landsong/Art/Sprites/树木/树4.png</t>
  </si>
  <si>
    <t>Assets/Landsong/Objects/Prefabs/BuildingViews/树/树 (4).prefab</t>
  </si>
  <si>
    <t>tree_05</t>
  </si>
  <si>
    <t>树木 5</t>
  </si>
  <si>
    <t>Assets/Landsong/Art/Sprites/树木/树5.png</t>
  </si>
  <si>
    <t>Assets/Landsong/Objects/Prefabs/BuildingViews/树/树 (5).prefab</t>
  </si>
  <si>
    <t>tree_06</t>
  </si>
  <si>
    <t>树木 6</t>
  </si>
  <si>
    <t>Assets/Landsong/Art/Sprites/树木/树6.png</t>
  </si>
  <si>
    <t>Assets/Landsong/Objects/Prefabs/BuildingViews/树/树 (6).prefab</t>
  </si>
  <si>
    <t>tree_07</t>
  </si>
  <si>
    <t>树木 7</t>
  </si>
  <si>
    <t>Assets/Landsong/Art/Sprites/树木/树7.png</t>
  </si>
  <si>
    <t>Assets/Landsong/Objects/Prefabs/BuildingViews/树/树 (7).prefab</t>
  </si>
  <si>
    <t>tree_08</t>
  </si>
  <si>
    <t>树木 8</t>
  </si>
  <si>
    <t>Assets/Landsong/Art/Sprites/树木/树8.png</t>
  </si>
  <si>
    <t>Assets/Landsong/Objects/Prefabs/BuildingViews/树/树( 8).prefab</t>
  </si>
  <si>
    <t>sculpture_goddess</t>
  </si>
  <si>
    <t>女神雕塑</t>
  </si>
  <si>
    <t>Assets/Landsong/Art/Sprites/雕塑11/女神雕塑.png</t>
  </si>
  <si>
    <t>Assets/Landsong/Objects/Prefabs/BuildingViews/雕塑/女神雕塑.prefab</t>
  </si>
  <si>
    <t>sculpture_deer</t>
  </si>
  <si>
    <t>神鹿雕塑</t>
  </si>
  <si>
    <t>Assets/Landsong/Art/Sprites/雕塑11/神鹿雕塑.png</t>
  </si>
  <si>
    <t>Assets/Landsong/Objects/Prefabs/BuildingViews/雕塑/神鹿雕塑.prefab</t>
  </si>
  <si>
    <t>稳定 ID 与导入权属字典</t>
  </si>
  <si>
    <t>ItemId 与 TechnologyId 必须能在 Unity 项目中唯一解析；显示名称可以变化，稳定 ID 不应随文案调整。</t>
  </si>
  <si>
    <t>类型</t>
  </si>
  <si>
    <t>稳定ID/名称</t>
  </si>
  <si>
    <t>显示说明</t>
  </si>
  <si>
    <t>Unity 解析目标</t>
  </si>
  <si>
    <t>是否导入</t>
  </si>
  <si>
    <t>Category</t>
  </si>
  <si>
    <t>住宅、人口容量与人口服务</t>
  </si>
  <si>
    <t>BuildingCategory.人口</t>
  </si>
  <si>
    <t>种植、养殖、捕鱼与食物获取</t>
  </si>
  <si>
    <t>BuildingCategory.农业</t>
  </si>
  <si>
    <t>资源采集、加工与制造</t>
  </si>
  <si>
    <t>BuildingCategory.工业</t>
  </si>
  <si>
    <t>市场、贸易与财政</t>
  </si>
  <si>
    <t>BuildingCategory.经济</t>
  </si>
  <si>
    <t>科研</t>
  </si>
  <si>
    <t>研究与科技产出</t>
  </si>
  <si>
    <t>BuildingCategory.科研</t>
  </si>
  <si>
    <t>治理、公共服务与城市核心</t>
  </si>
  <si>
    <t>BuildingCategory.市政</t>
  </si>
  <si>
    <t>军事</t>
  </si>
  <si>
    <t>防御、驻军与训练</t>
  </si>
  <si>
    <t>BuildingCategory.军事</t>
  </si>
  <si>
    <t>道路、运输与通行设施</t>
  </si>
  <si>
    <t>BuildingCategory.交通</t>
  </si>
  <si>
    <t>景观与非核心装饰</t>
  </si>
  <si>
    <t>BuildingCategory.装饰</t>
  </si>
  <si>
    <t>奇观</t>
  </si>
  <si>
    <t>唯一性或里程碑大型建筑</t>
  </si>
  <si>
    <t>BuildingCategory.奇观</t>
  </si>
  <si>
    <t>Item</t>
  </si>
  <si>
    <t>ItemDefinition.ItemId</t>
  </si>
  <si>
    <t>木板</t>
  </si>
  <si>
    <t>Condition</t>
  </si>
  <si>
    <t>无升级条件</t>
  </si>
  <si>
    <t>null</t>
  </si>
  <si>
    <t>keep</t>
  </si>
  <si>
    <t>保留现有条件（仅现有等级）</t>
  </si>
  <si>
    <t>现有 GameCondition</t>
  </si>
  <si>
    <t>启蒙科技解锁</t>
  </si>
  <si>
    <t>GameCondition_TechnologyUnlocked</t>
  </si>
  <si>
    <t>LevelConfiguration</t>
  </si>
  <si>
    <t>warehouse.operation</t>
  </si>
  <si>
    <t>仓库容量、维护、经验、奖励和吸引力惩罚</t>
  </si>
  <si>
    <t>WarehouseLevelConfiguration</t>
  </si>
  <si>
    <t>SpatialEffect.Kind</t>
  </si>
  <si>
    <t>格子美化</t>
  </si>
  <si>
    <t>BuildingSpatialEffectKind</t>
  </si>
  <si>
    <t>production_percent</t>
  </si>
  <si>
    <t>建筑生产百分比</t>
  </si>
  <si>
    <t>SpatialEffect.Target</t>
  </si>
  <si>
    <t>地图格</t>
  </si>
  <si>
    <t>BuildingSpatialTargetFilter</t>
  </si>
  <si>
    <t>any_building</t>
  </si>
  <si>
    <t>任意建筑</t>
  </si>
  <si>
    <t>farmland</t>
  </si>
  <si>
    <t>农田建筑</t>
  </si>
  <si>
    <t>SpatialEffect.Stacking</t>
  </si>
  <si>
    <t>additive</t>
  </si>
  <si>
    <t>全部来源累加</t>
  </si>
  <si>
    <t>BuildingSpatialStackingRule</t>
  </si>
  <si>
    <t>no_stack</t>
  </si>
  <si>
    <t>同 EffectId 只取最高</t>
  </si>
  <si>
    <t>该规则来源只取最高</t>
  </si>
  <si>
    <t>Presentation</t>
  </si>
  <si>
    <t>视觉变体，不产生新家族</t>
  </si>
  <si>
    <t>BuildingPresentationDefinition</t>
  </si>
  <si>
    <t>Icon/View Path</t>
  </si>
  <si>
    <t>美术回填清单</t>
  </si>
  <si>
    <t>Unity 对象引用</t>
  </si>
  <si>
    <t>Structure</t>
  </si>
  <si>
    <t>ModuleSet</t>
  </si>
  <si>
    <t>模块类型和启用状态</t>
  </si>
  <si>
    <t>BuildingModuleSetDefinition</t>
  </si>
  <si>
    <t>Runtime Prefab</t>
  </si>
  <si>
    <t>组件与层级结构</t>
  </si>
  <si>
    <t>Prefab</t>
  </si>
  <si>
    <t>建筑家族</t>
  </si>
  <si>
    <t>string</t>
  </si>
  <si>
    <t>可空；多项用 | 分隔</t>
  </si>
  <si>
    <t>每个 Key 至少在 footprint 的一个格子中出现</t>
  </si>
  <si>
    <t>condition</t>
  </si>
  <si>
    <t>none / technology.&lt;TechnologyId&gt;</t>
  </si>
  <si>
    <t>持续蓝图关系归建筑侧，不写科技完成效果</t>
  </si>
  <si>
    <t>施工产出</t>
  </si>
  <si>
    <t>int</t>
  </si>
  <si>
    <t>&gt; 0</t>
  </si>
  <si>
    <t>施工阶段成功时加入库存，和同回合消耗原子结算</t>
  </si>
  <si>
    <t>等级_维护费</t>
  </si>
  <si>
    <t>&gt;= 0</t>
  </si>
  <si>
    <t>失败时中止后续自动模块</t>
  </si>
  <si>
    <t>科技_全局生产Buff</t>
  </si>
  <si>
    <t>固定加成/次</t>
  </si>
  <si>
    <t>仅在目标建筑本次产生目标资源时叠加</t>
  </si>
  <si>
    <t>医院升 LV2 科技条件</t>
  </si>
  <si>
    <t>医院升 LV3 科技条件</t>
  </si>
  <si>
    <t>operational_experience</t>
  </si>
  <si>
    <t>通用运营经验与下级阈值</t>
  </si>
  <si>
    <t>BuildingOperationalExperienceLevelConfiguration</t>
  </si>
  <si>
    <t>地图格医疗值；同格按 HighestValue 取最高</t>
  </si>
  <si>
    <t>BuildingSpatialEffectKind.Medical</t>
  </si>
  <si>
    <t>模块_范围效果</t>
  </si>
  <si>
    <t>0 为全部等级；正数为精确运营等级</t>
  </si>
  <si>
    <t>BuildingSpatialEffectDefinition.OperationalLevel</t>
  </si>
  <si>
    <t>0 为无岗位条件；正数要求当前工人不少于该值</t>
  </si>
  <si>
    <t>BuildingSpatialEffectDefinition.MinimumWorkers</t>
  </si>
  <si>
    <t>警局蓝图解锁科技条件</t>
  </si>
  <si>
    <t>警局升 LV2 科技条件</t>
  </si>
  <si>
    <t>警局升 LV3 科技条件</t>
  </si>
  <si>
    <t>地图格治安值；同格按 HighestValue 取最高</t>
  </si>
  <si>
    <t>BuildingSpatialEffectKind.Security</t>
  </si>
  <si>
    <t>InventorySlotType</t>
  </si>
  <si>
    <t>简陋库存 / 普通库存 / 高级库存 / 冻库 / 粮库</t>
  </si>
  <si>
    <t>建筑提供的库存格类型</t>
  </si>
  <si>
    <t>等级_库存容量</t>
  </si>
  <si>
    <t>王宫等通用库存提供模块的槽位类型</t>
  </si>
  <si>
    <t>BuildingInventoryLevelConfiguration.SlotType</t>
  </si>
  <si>
    <t>等级_仓库</t>
  </si>
  <si>
    <t>仓库基础库存格的类型</t>
  </si>
  <si>
    <t>WarehouseLevelConfiguration.BaseSlotType</t>
  </si>
  <si>
    <t>达到奖励条件后新增库存格的类型</t>
  </si>
  <si>
    <t>WarehouseLevelConfiguration.BonusSlotType</t>
  </si>
  <si>
    <t>等级_住宅</t>
  </si>
  <si>
    <t>FoodGroupId / 选择策略</t>
  </si>
  <si>
    <t>居民可替代食物组和取用顺序</t>
  </si>
  <si>
    <t>ResidentialHousingLevelConfiguration</t>
  </si>
  <si>
    <t>库存边界</t>
  </si>
  <si>
    <t>SlotType + Count</t>
  </si>
  <si>
    <t>建筑不保存槽位固定损耗和 UI 表现</t>
  </si>
  <si>
    <t>InventorySlotTypeCatalog / UI code</t>
  </si>
  <si>
    <t>科技_全局库存Buff</t>
  </si>
  <si>
    <t>BuffId</t>
  </si>
  <si>
    <t>稳定全局 Buff ID</t>
  </si>
  <si>
    <t>TechnologyGlobalBuffDefinition.BuffId</t>
  </si>
  <si>
    <t>不得与其他科技全局 Buff 表重复</t>
  </si>
  <si>
    <t>激活科技条件</t>
  </si>
  <si>
    <t>格式 technology.&lt;TechnologyId&gt;</t>
  </si>
  <si>
    <t>库存损耗降低%</t>
  </si>
  <si>
    <t>所有库存最终损耗率降低百分比</t>
  </si>
  <si>
    <t>TechnologyGlobalBuffEffect_InventoryLossReduction</t>
  </si>
  <si>
    <t>范围 (0,100]；多个 Buff 乘法叠加</t>
  </si>
  <si>
    <t>科技 UI 的 Buff 显示名</t>
  </si>
  <si>
    <t>TechnologyGlobalBuffDefinition.DisplayName</t>
  </si>
  <si>
    <t>玩家可见</t>
  </si>
  <si>
    <t>Module</t>
  </si>
  <si>
    <t>harvestable.finite</t>
  </si>
  <si>
    <t>有限成功次数的双击即时采集</t>
  </si>
  <si>
    <t>BM_有限次数采集</t>
  </si>
  <si>
    <t>进度进入建筑模块存档</t>
  </si>
  <si>
    <t>模块_有限采集</t>
  </si>
  <si>
    <t>每次双击产出</t>
  </si>
  <si>
    <t>单次成功采集完整加入库存的数量</t>
  </si>
  <si>
    <t>BM_有限次数采集.RewardAmountPerDoubleClick</t>
  </si>
  <si>
    <t>最大成功采集次数</t>
  </si>
  <si>
    <t>达到次数后拆除建筑</t>
  </si>
  <si>
    <t>BM_有限次数采集.MaxSuccessfulHarvests</t>
  </si>
  <si>
    <t>正式源表汇总</t>
  </si>
  <si>
    <t>这里提供快速体检，不替代 Unity 导表器。Unity 会额外检查重复键、物品/科技引用、等级连续性、模块依赖和数值范围。</t>
  </si>
  <si>
    <t>检查项</t>
  </si>
  <si>
    <t>当前值</t>
  </si>
  <si>
    <t>基准/规则</t>
  </si>
  <si>
    <t>状态</t>
  </si>
  <si>
    <t>家族数量</t>
  </si>
  <si>
    <t>当前项目正式家族（新增小土堆与小石堆）</t>
  </si>
  <si>
    <t>运营等级数量</t>
  </si>
  <si>
    <t>含未开放占位等级</t>
  </si>
  <si>
    <t>生产档位行数</t>
  </si>
  <si>
    <t>保持当前生产档位完整</t>
  </si>
  <si>
    <t>范围效果行数</t>
  </si>
  <si>
    <t>树木、雕塑、医院六档医疗与警局六档治安</t>
  </si>
  <si>
    <t>仓库等级行数</t>
  </si>
  <si>
    <t>仓库与粮仓的 LV1-LV3 均有仓库运营配置</t>
  </si>
  <si>
    <t>运营经验等级行数</t>
  </si>
  <si>
    <t>医院与警局的 LV1-LV3 均有通用经验配置</t>
  </si>
  <si>
    <t>Style 待回填数</t>
  </si>
  <si>
    <t>美术回填不阻止数值导入</t>
  </si>
  <si>
    <t>有限采集配置行数</t>
  </si>
  <si>
    <t>小土堆与小石堆各一行</t>
  </si>
  <si>
    <t>当前正式建筑数值 SchemaVersion</t>
  </si>
  <si>
    <t>逐回合施工产出</t>
  </si>
  <si>
    <t>施工阶段成功结算后加入库存；与同回合施工消耗进行原子交换，库存无法容纳时该阶段不会推进。</t>
  </si>
  <si>
    <t>第 1 施工阶段产出</t>
  </si>
  <si>
    <t>第 3 施工阶段产出</t>
  </si>
  <si>
    <t>等级配置：通用维护费</t>
  </si>
  <si>
    <t>对应 BuildingMaintenanceLevelConfiguration / BM_维护费。模块必须排在生产模块之前；支付失败会中止后续生产。</t>
  </si>
  <si>
    <t>支付失败时本回合不生产</t>
  </si>
  <si>
    <t>维护失败会阻止本回合运营经验增长</t>
  </si>
  <si>
    <t>最高等级，仍需支付固定维护费</t>
  </si>
  <si>
    <t>科技：全局建筑生产 Buff</t>
  </si>
  <si>
    <t>规则资产维护 Buff 图标与类型结构；本表是数值真源。科技 UI 从中央注册表读取生产者注入的 Buff 图标与描述。</t>
  </si>
  <si>
    <t>buff.quarry.masonry</t>
  </si>
  <si>
    <t>石工术采石加成</t>
  </si>
  <si>
    <t>采石场产生石头且基础产量大于 0 时额外 +1</t>
  </si>
  <si>
    <t>等级配置：通用运营经验</t>
  </si>
  <si>
    <t>对应 BuildingOperationalExperienceLevelConfiguration / BM_运营经验。模块必须排在维护费之后，只有工人达标且本回合维护支付成功才会获得经验。</t>
  </si>
  <si>
    <t>累计经验达到 30 后满足经验升级条件</t>
  </si>
  <si>
    <t>经验跨等级保留；累计达到 100 后满足经验升级条件</t>
  </si>
  <si>
    <t>最高等级，不再获得运营经验</t>
  </si>
  <si>
    <t>科技全局 Buff：库存损耗</t>
  </si>
  <si>
    <t>由科技解锁条件激活，对所有库存槽位的最终损耗率统一乘算。多个全局库存损耗 Buff 使用乘法叠加。</t>
  </si>
  <si>
    <t>buff.inventory.wheel_preservation</t>
  </si>
  <si>
    <t>轮子库存保存改良</t>
  </si>
  <si>
    <t>模块默认值：有限次数采集</t>
  </si>
  <si>
    <t>每次成功双击立即完整入库一次产出；库存不足时不消耗次数，达到上限后拆除建筑。</t>
  </si>
  <si>
    <t>总产出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</si>
</sst>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  <numFmt numFmtId="177" formatCode="0.000"/>
    <numFmt numFmtId="178" formatCode="0.0%"/>
  </numFmts>
  <fonts count="33">
    <font>
      <sz val="11"/>
      <name val="Carlito"/>
      <charset val="134"/>
    </font>
    <font>
      <b/>
      <sz val="18"/>
      <color rgb="FFFFFFFF"/>
      <name val="Carlito"/>
      <charset val="134"/>
    </font>
    <font>
      <sz val="10"/>
      <color rgb="FF203E6F"/>
      <name val="Carlito"/>
      <charset val="134"/>
    </font>
    <font>
      <b/>
      <sz val="10"/>
      <color rgb="FFFFFFFF"/>
      <name val="Carlito"/>
      <charset val="134"/>
    </font>
    <font>
      <b/>
      <sz val="11"/>
      <color rgb="FFFFFFFF"/>
      <name val="Carlito"/>
      <charset val="134"/>
    </font>
    <font>
      <sz val="11"/>
      <color rgb="FF375623"/>
      <name val="Carlito"/>
      <charset val="134"/>
    </font>
    <font>
      <b/>
      <sz val="16"/>
      <color rgb="FFFFFFFF"/>
      <name val="Carlito"/>
      <charset val="134"/>
    </font>
    <font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color rgb="FF222222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宋体"/>
      <charset val="134"/>
    </font>
    <font>
      <b/>
      <sz val="11"/>
      <color rgb="FF203864"/>
      <name val="Carlito"/>
      <charset val="134"/>
    </font>
    <font>
      <b/>
      <sz val="11"/>
      <color rgb="FF4472C4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2">
    <fill>
      <patternFill patternType="none"/>
    </fill>
    <fill>
      <patternFill patternType="gray125"/>
    </fill>
    <fill>
      <patternFill patternType="solid">
        <fgColor rgb="FF203E6F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6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203864"/>
      </left>
      <right style="thin">
        <color rgb="FF203864"/>
      </right>
      <top style="thin">
        <color rgb="FF203864"/>
      </top>
      <bottom style="thin">
        <color rgb="FF20386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203864"/>
      </left>
      <right/>
      <top style="thin">
        <color rgb="FF203864"/>
      </top>
      <bottom style="thin">
        <color rgb="FF203864"/>
      </bottom>
      <diagonal/>
    </border>
    <border>
      <left/>
      <right/>
      <top style="thin">
        <color rgb="FF203864"/>
      </top>
      <bottom style="thin">
        <color rgb="FF203864"/>
      </bottom>
      <diagonal/>
    </border>
    <border>
      <left/>
      <right style="thin">
        <color rgb="FF203864"/>
      </right>
      <top style="thin">
        <color rgb="FF203864"/>
      </top>
      <bottom style="thin">
        <color rgb="FF203864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4" fillId="0" borderId="0">
      <alignment vertical="center"/>
    </xf>
    <xf numFmtId="44" fontId="14" fillId="0" borderId="0">
      <alignment vertical="center"/>
    </xf>
    <xf numFmtId="9" fontId="14" fillId="0" borderId="0">
      <alignment vertical="center"/>
    </xf>
    <xf numFmtId="41" fontId="14" fillId="0" borderId="0">
      <alignment vertical="center"/>
    </xf>
    <xf numFmtId="42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4" fillId="11" borderId="18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19">
      <alignment vertical="center"/>
    </xf>
    <xf numFmtId="0" fontId="21" fillId="0" borderId="19">
      <alignment vertical="center"/>
    </xf>
    <xf numFmtId="0" fontId="22" fillId="0" borderId="20">
      <alignment vertical="center"/>
    </xf>
    <xf numFmtId="0" fontId="22" fillId="0" borderId="0">
      <alignment vertical="center"/>
    </xf>
    <xf numFmtId="0" fontId="23" fillId="12" borderId="21">
      <alignment vertical="center"/>
    </xf>
    <xf numFmtId="0" fontId="24" fillId="13" borderId="22">
      <alignment vertical="center"/>
    </xf>
    <xf numFmtId="0" fontId="25" fillId="13" borderId="21">
      <alignment vertical="center"/>
    </xf>
    <xf numFmtId="0" fontId="26" fillId="14" borderId="23">
      <alignment vertical="center"/>
    </xf>
    <xf numFmtId="0" fontId="27" fillId="0" borderId="24">
      <alignment vertical="center"/>
    </xf>
    <xf numFmtId="0" fontId="28" fillId="0" borderId="25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2" fillId="18" borderId="0">
      <alignment vertical="center"/>
    </xf>
    <xf numFmtId="0" fontId="14" fillId="19" borderId="0">
      <alignment vertical="center"/>
    </xf>
    <xf numFmtId="0" fontId="14" fillId="20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14" fillId="23" borderId="0">
      <alignment vertical="center"/>
    </xf>
    <xf numFmtId="0" fontId="14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14" fillId="27" borderId="0">
      <alignment vertical="center"/>
    </xf>
    <xf numFmtId="0" fontId="14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14" fillId="31" borderId="0">
      <alignment vertical="center"/>
    </xf>
    <xf numFmtId="0" fontId="14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14" fillId="35" borderId="0">
      <alignment vertical="center"/>
    </xf>
    <xf numFmtId="0" fontId="14" fillId="36" borderId="0">
      <alignment vertical="center"/>
    </xf>
    <xf numFmtId="0" fontId="32" fillId="37" borderId="0">
      <alignment vertical="center"/>
    </xf>
    <xf numFmtId="0" fontId="32" fillId="38" borderId="0">
      <alignment vertical="center"/>
    </xf>
    <xf numFmtId="0" fontId="14" fillId="39" borderId="0">
      <alignment vertical="center"/>
    </xf>
    <xf numFmtId="0" fontId="14" fillId="40" borderId="0">
      <alignment vertical="center"/>
    </xf>
    <xf numFmtId="0" fontId="32" fillId="41" borderId="0">
      <alignment vertical="center"/>
    </xf>
    <xf numFmtId="0" fontId="0" fillId="0" borderId="0"/>
  </cellStyleXfs>
  <cellXfs count="77">
    <xf numFmtId="0" fontId="0" fillId="0" borderId="0" xfId="49"/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vertic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2" fillId="5" borderId="1" xfId="0" applyNumberFormat="1" applyFont="1" applyFill="1" applyBorder="1" applyAlignment="1">
      <alignment vertical="center"/>
    </xf>
    <xf numFmtId="1" fontId="2" fillId="5" borderId="1" xfId="0" applyNumberFormat="1" applyFont="1" applyFill="1" applyBorder="1" applyAlignment="1">
      <alignment vertical="center"/>
    </xf>
    <xf numFmtId="1" fontId="2" fillId="6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0" fontId="4" fillId="7" borderId="0" xfId="0" applyNumberFormat="1" applyFont="1" applyFill="1" applyBorder="1" applyAlignment="1"/>
    <xf numFmtId="0" fontId="5" fillId="3" borderId="0" xfId="0" applyNumberFormat="1" applyFont="1" applyFill="1" applyBorder="1" applyAlignment="1">
      <alignment wrapText="1"/>
    </xf>
    <xf numFmtId="0" fontId="4" fillId="4" borderId="1" xfId="0" applyNumberFormat="1" applyFont="1" applyFill="1" applyBorder="1" applyAlignment="1">
      <alignment horizontal="center" vertical="center"/>
    </xf>
    <xf numFmtId="0" fontId="0" fillId="5" borderId="2" xfId="0" applyNumberFormat="1" applyFont="1" applyFill="1" applyBorder="1" applyAlignment="1">
      <alignment wrapText="1"/>
    </xf>
    <xf numFmtId="176" fontId="0" fillId="5" borderId="2" xfId="0" applyNumberFormat="1" applyFont="1" applyFill="1" applyBorder="1" applyAlignment="1">
      <alignment wrapText="1"/>
    </xf>
    <xf numFmtId="176" fontId="0" fillId="0" borderId="0" xfId="0" applyNumberFormat="1" applyFont="1" applyFill="1" applyBorder="1" applyAlignment="1"/>
    <xf numFmtId="0" fontId="6" fillId="7" borderId="0" xfId="0" applyNumberFormat="1" applyFont="1" applyFill="1" applyBorder="1" applyAlignment="1"/>
    <xf numFmtId="0" fontId="7" fillId="3" borderId="0" xfId="0" applyNumberFormat="1" applyFont="1" applyFill="1" applyBorder="1" applyAlignment="1">
      <alignment wrapText="1"/>
    </xf>
    <xf numFmtId="0" fontId="4" fillId="4" borderId="3" xfId="0" applyNumberFormat="1" applyFont="1" applyFill="1" applyBorder="1" applyAlignment="1">
      <alignment wrapText="1"/>
    </xf>
    <xf numFmtId="0" fontId="7" fillId="5" borderId="4" xfId="0" applyNumberFormat="1" applyFont="1" applyFill="1" applyBorder="1" applyAlignment="1">
      <alignment vertical="center" wrapText="1"/>
    </xf>
    <xf numFmtId="1" fontId="7" fillId="5" borderId="4" xfId="0" applyNumberFormat="1" applyFont="1" applyFill="1" applyBorder="1" applyAlignment="1">
      <alignment horizontal="center" vertical="center" wrapText="1"/>
    </xf>
    <xf numFmtId="0" fontId="7" fillId="8" borderId="4" xfId="0" applyNumberFormat="1" applyFont="1" applyFill="1" applyBorder="1" applyAlignment="1">
      <alignment vertical="center" wrapText="1"/>
    </xf>
    <xf numFmtId="0" fontId="0" fillId="5" borderId="4" xfId="0" applyNumberFormat="1" applyFont="1" applyFill="1" applyBorder="1" applyAlignment="1">
      <alignment wrapText="1"/>
    </xf>
    <xf numFmtId="0" fontId="0" fillId="8" borderId="4" xfId="0" applyNumberFormat="1" applyFont="1" applyFill="1" applyBorder="1" applyAlignment="1">
      <alignment wrapText="1"/>
    </xf>
    <xf numFmtId="0" fontId="6" fillId="7" borderId="0" xfId="0" applyNumberFormat="1" applyFont="1" applyFill="1" applyBorder="1" applyAlignment="1">
      <alignment vertical="center"/>
    </xf>
    <xf numFmtId="0" fontId="4" fillId="4" borderId="1" xfId="0" applyNumberFormat="1" applyFont="1" applyFill="1" applyBorder="1" applyAlignment="1">
      <alignment vertical="center" wrapText="1"/>
    </xf>
    <xf numFmtId="0" fontId="0" fillId="5" borderId="2" xfId="0" applyNumberFormat="1" applyFont="1" applyFill="1" applyBorder="1" applyAlignment="1">
      <alignment vertical="center" wrapText="1"/>
    </xf>
    <xf numFmtId="0" fontId="0" fillId="0" borderId="0" xfId="0" applyAlignment="1"/>
    <xf numFmtId="0" fontId="6" fillId="7" borderId="0" xfId="49" applyFont="1" applyFill="1" applyAlignment="1">
      <alignment vertical="center"/>
    </xf>
    <xf numFmtId="0" fontId="7" fillId="3" borderId="0" xfId="49" applyFont="1" applyFill="1" applyAlignment="1">
      <alignment vertical="center" wrapText="1"/>
    </xf>
    <xf numFmtId="0" fontId="0" fillId="0" borderId="0" xfId="49" applyAlignment="1">
      <alignment vertical="center"/>
    </xf>
    <xf numFmtId="0" fontId="4" fillId="4" borderId="5" xfId="49" applyFont="1" applyFill="1" applyBorder="1" applyAlignment="1">
      <alignment vertical="center" wrapText="1"/>
    </xf>
    <xf numFmtId="0" fontId="4" fillId="4" borderId="6" xfId="49" applyFont="1" applyFill="1" applyBorder="1" applyAlignment="1">
      <alignment vertical="center" wrapText="1"/>
    </xf>
    <xf numFmtId="0" fontId="4" fillId="4" borderId="7" xfId="49" applyFont="1" applyFill="1" applyBorder="1" applyAlignment="1">
      <alignment vertical="center" wrapText="1"/>
    </xf>
    <xf numFmtId="0" fontId="8" fillId="5" borderId="8" xfId="49" applyFont="1" applyFill="1" applyBorder="1" applyAlignment="1">
      <alignment vertical="center"/>
    </xf>
    <xf numFmtId="1" fontId="8" fillId="6" borderId="8" xfId="49" applyNumberFormat="1" applyFont="1" applyFill="1" applyBorder="1" applyAlignment="1">
      <alignment vertical="center"/>
    </xf>
    <xf numFmtId="1" fontId="8" fillId="5" borderId="8" xfId="49" applyNumberFormat="1" applyFont="1" applyFill="1" applyBorder="1" applyAlignment="1">
      <alignment vertical="center"/>
    </xf>
    <xf numFmtId="0" fontId="8" fillId="6" borderId="8" xfId="49" applyFont="1" applyFill="1" applyBorder="1" applyAlignment="1">
      <alignment vertical="center"/>
    </xf>
    <xf numFmtId="0" fontId="8" fillId="5" borderId="9" xfId="49" applyFont="1" applyFill="1" applyBorder="1" applyAlignment="1">
      <alignment vertical="center"/>
    </xf>
    <xf numFmtId="1" fontId="8" fillId="6" borderId="9" xfId="49" applyNumberFormat="1" applyFont="1" applyFill="1" applyBorder="1" applyAlignment="1">
      <alignment vertical="center"/>
    </xf>
    <xf numFmtId="1" fontId="8" fillId="5" borderId="9" xfId="49" applyNumberFormat="1" applyFont="1" applyFill="1" applyBorder="1" applyAlignment="1">
      <alignment vertical="center"/>
    </xf>
    <xf numFmtId="0" fontId="8" fillId="6" borderId="9" xfId="49" applyFont="1" applyFill="1" applyBorder="1" applyAlignment="1">
      <alignment vertical="center"/>
    </xf>
    <xf numFmtId="0" fontId="0" fillId="0" borderId="10" xfId="0" applyNumberFormat="1" applyFont="1" applyFill="1" applyBorder="1" applyAlignment="1">
      <alignment wrapText="1"/>
    </xf>
    <xf numFmtId="0" fontId="9" fillId="5" borderId="1" xfId="0" applyNumberFormat="1" applyFont="1" applyFill="1" applyBorder="1" applyAlignment="1">
      <alignment wrapText="1"/>
    </xf>
    <xf numFmtId="1" fontId="0" fillId="0" borderId="0" xfId="49" applyNumberFormat="1" applyAlignment="1">
      <alignment vertical="center"/>
    </xf>
    <xf numFmtId="0" fontId="10" fillId="8" borderId="4" xfId="0" applyNumberFormat="1" applyFont="1" applyFill="1" applyBorder="1" applyAlignment="1">
      <alignment vertical="center" wrapText="1"/>
    </xf>
    <xf numFmtId="176" fontId="8" fillId="6" borderId="8" xfId="49" applyNumberFormat="1" applyFont="1" applyFill="1" applyBorder="1" applyAlignment="1">
      <alignment vertical="center"/>
    </xf>
    <xf numFmtId="176" fontId="0" fillId="0" borderId="0" xfId="49" applyNumberFormat="1" applyAlignment="1">
      <alignment vertical="center"/>
    </xf>
    <xf numFmtId="177" fontId="8" fillId="5" borderId="8" xfId="49" applyNumberFormat="1" applyFont="1" applyFill="1" applyBorder="1" applyAlignment="1">
      <alignment vertical="center"/>
    </xf>
    <xf numFmtId="178" fontId="8" fillId="6" borderId="8" xfId="49" applyNumberFormat="1" applyFont="1" applyFill="1" applyBorder="1" applyAlignment="1">
      <alignment vertical="center"/>
    </xf>
    <xf numFmtId="177" fontId="0" fillId="0" borderId="0" xfId="49" applyNumberFormat="1" applyAlignment="1">
      <alignment vertical="center"/>
    </xf>
    <xf numFmtId="0" fontId="4" fillId="4" borderId="11" xfId="0" applyNumberFormat="1" applyFont="1" applyFill="1" applyBorder="1" applyAlignment="1">
      <alignment horizontal="center" vertical="center"/>
    </xf>
    <xf numFmtId="0" fontId="0" fillId="5" borderId="10" xfId="0" applyNumberFormat="1" applyFont="1" applyFill="1" applyBorder="1" applyAlignment="1"/>
    <xf numFmtId="2" fontId="8" fillId="5" borderId="8" xfId="49" applyNumberFormat="1" applyFont="1" applyFill="1" applyBorder="1" applyAlignment="1">
      <alignment vertical="center"/>
    </xf>
    <xf numFmtId="2" fontId="8" fillId="5" borderId="9" xfId="49" applyNumberFormat="1" applyFont="1" applyFill="1" applyBorder="1" applyAlignment="1">
      <alignment vertical="center"/>
    </xf>
    <xf numFmtId="2" fontId="0" fillId="0" borderId="0" xfId="49" applyNumberFormat="1" applyAlignment="1">
      <alignment vertical="center"/>
    </xf>
    <xf numFmtId="2" fontId="8" fillId="6" borderId="8" xfId="49" applyNumberFormat="1" applyFont="1" applyFill="1" applyBorder="1" applyAlignment="1">
      <alignment vertical="center"/>
    </xf>
    <xf numFmtId="2" fontId="8" fillId="6" borderId="9" xfId="49" applyNumberFormat="1" applyFont="1" applyFill="1" applyBorder="1" applyAlignment="1">
      <alignment vertical="center"/>
    </xf>
    <xf numFmtId="0" fontId="0" fillId="5" borderId="4" xfId="0" applyNumberFormat="1" applyFont="1" applyFill="1" applyBorder="1" applyAlignment="1">
      <alignment vertical="center" wrapText="1"/>
    </xf>
    <xf numFmtId="1" fontId="0" fillId="5" borderId="4" xfId="0" applyNumberFormat="1" applyFont="1" applyFill="1" applyBorder="1" applyAlignment="1">
      <alignment vertical="center" wrapText="1"/>
    </xf>
    <xf numFmtId="0" fontId="0" fillId="8" borderId="4" xfId="0" applyNumberFormat="1" applyFont="1" applyFill="1" applyBorder="1" applyAlignment="1">
      <alignment vertical="center" wrapText="1"/>
    </xf>
    <xf numFmtId="0" fontId="11" fillId="5" borderId="9" xfId="49" applyFont="1" applyFill="1" applyBorder="1" applyAlignment="1">
      <alignment vertical="center"/>
    </xf>
    <xf numFmtId="0" fontId="4" fillId="9" borderId="0" xfId="49" applyFont="1" applyFill="1" applyAlignment="1">
      <alignment vertical="center"/>
    </xf>
    <xf numFmtId="0" fontId="8" fillId="6" borderId="0" xfId="49" applyFont="1" applyFill="1" applyAlignment="1">
      <alignment vertical="center" wrapText="1"/>
    </xf>
    <xf numFmtId="0" fontId="4" fillId="4" borderId="0" xfId="49" applyFont="1" applyFill="1" applyAlignment="1">
      <alignment vertical="center"/>
    </xf>
    <xf numFmtId="0" fontId="12" fillId="3" borderId="12" xfId="49" applyFont="1" applyFill="1" applyBorder="1" applyAlignment="1">
      <alignment vertical="center" wrapText="1"/>
    </xf>
    <xf numFmtId="0" fontId="8" fillId="10" borderId="13" xfId="49" applyFont="1" applyFill="1" applyBorder="1" applyAlignment="1">
      <alignment vertical="center" wrapText="1"/>
    </xf>
    <xf numFmtId="0" fontId="0" fillId="0" borderId="8" xfId="0" applyBorder="1" applyAlignment="1"/>
    <xf numFmtId="0" fontId="0" fillId="0" borderId="12" xfId="0" applyBorder="1" applyAlignment="1"/>
    <xf numFmtId="0" fontId="12" fillId="3" borderId="14" xfId="49" applyFont="1" applyFill="1" applyBorder="1" applyAlignment="1">
      <alignment vertical="center" wrapText="1"/>
    </xf>
    <xf numFmtId="0" fontId="8" fillId="10" borderId="1" xfId="49" applyFont="1" applyFill="1" applyBorder="1" applyAlignment="1">
      <alignment vertical="center" wrapText="1"/>
    </xf>
    <xf numFmtId="0" fontId="0" fillId="0" borderId="9" xfId="0" applyBorder="1" applyAlignment="1"/>
    <xf numFmtId="0" fontId="0" fillId="0" borderId="14" xfId="0" applyBorder="1" applyAlignment="1"/>
    <xf numFmtId="0" fontId="12" fillId="3" borderId="15" xfId="49" applyFont="1" applyFill="1" applyBorder="1" applyAlignment="1">
      <alignment vertical="center" wrapText="1"/>
    </xf>
    <xf numFmtId="0" fontId="8" fillId="10" borderId="16" xfId="49" applyFont="1" applyFill="1" applyBorder="1" applyAlignment="1">
      <alignment vertical="center" wrapText="1"/>
    </xf>
    <xf numFmtId="0" fontId="0" fillId="0" borderId="17" xfId="0" applyBorder="1" applyAlignment="1"/>
    <xf numFmtId="0" fontId="0" fillId="0" borderId="15" xfId="0" applyBorder="1" applyAlignment="1"/>
    <xf numFmtId="0" fontId="13" fillId="3" borderId="0" xfId="49" applyFont="1" applyFill="1" applyAlignment="1">
      <alignment horizontal="center" vertical="center" wrapText="1"/>
    </xf>
    <xf numFmtId="0" fontId="8" fillId="3" borderId="0" xfId="49" applyFont="1" applyFill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9C5700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BuildingFamilies" displayName="BuildingFamilies" ref="A4:S13" totalsRowShown="0">
  <autoFilter xmlns:etc="http://www.wps.cn/officeDocument/2017/etCustomData" ref="A4:S13" etc:filterBottomFollowUsedRange="0"/>
  <tableColumns count="19">
    <tableColumn id="1" name="FamilyId"/>
    <tableColumn id="2" name="名称"/>
    <tableColumn id="3" name="分类"/>
    <tableColumn id="4" name="SizeX"/>
    <tableColumn id="5" name="SizeY"/>
    <tableColumn id="6" name="忽略地形"/>
    <tableColumn id="7" name="地形Keys"/>
    <tableColumn id="8" name="移动阻力"/>
    <tableColumn id="9" name="施工回合"/>
    <tableColumn id="10" name="数量上限"/>
    <tableColumn id="11" name="数量限制分组ID"/>
    <tableColumn id="12" name="蓝图初始锁定"/>
    <tableColumn id="13" name="锁定时隐藏"/>
    <tableColumn id="14" name="菜单排序"/>
    <tableColumn id="15" name="开发完成"/>
    <tableColumn id="16" name="资源提供点"/>
    <tableColumn id="17" name="资源提供优先级"/>
    <tableColumn id="18" name="行动力预算"/>
    <tableColumn id="19" name="说明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PlacementCosts" displayName="PlacementCosts" ref="A4:D10" totalsRowShown="0">
  <autoFilter xmlns:etc="http://www.wps.cn/officeDocument/2017/etCustomData" ref="A4:D10" etc:filterBottomFollowUsedRange="0"/>
  <tableColumns count="4">
    <tableColumn id="1" name="FamilyId"/>
    <tableColumn id="2" name="ItemId"/>
    <tableColumn id="3" name="数量"/>
    <tableColumn id="4" name="说明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ConstructionCosts" displayName="ConstructionCosts" ref="A4:E10" totalsRowShown="0">
  <autoFilter xmlns:etc="http://www.wps.cn/officeDocument/2017/etCustomData" ref="A4:E10" etc:filterBottomFollowUsedRange="0"/>
  <tableColumns count="5">
    <tableColumn id="1" name="FamilyId"/>
    <tableColumn id="2" name="回合序号"/>
    <tableColumn id="3" name="ItemId"/>
    <tableColumn id="4" name="数量"/>
    <tableColumn id="5" name="说明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OperationalLevels" displayName="OperationalLevels" ref="A4:E23" totalsRowShown="0">
  <autoFilter xmlns:etc="http://www.wps.cn/officeDocument/2017/etCustomData" ref="A4:E23" etc:filterBottomFollowUsedRange="0"/>
  <tableColumns count="5">
    <tableColumn id="1" name="FamilyId"/>
    <tableColumn id="2" name="Level"/>
    <tableColumn id="3" name="开放"/>
    <tableColumn id="4" name="ConditionId"/>
    <tableColumn id="5" name="说明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UpgradeCosts" displayName="UpgradeCosts" ref="A4:E5" totalsRowShown="0">
  <autoFilter xmlns:etc="http://www.wps.cn/officeDocument/2017/etCustomData" ref="A4:E5" etc:filterBottomFollowUsedRange="0"/>
  <tableColumns count="5">
    <tableColumn id="1" name="FamilyId"/>
    <tableColumn id="2" name="目标Level"/>
    <tableColumn id="3" name="ItemId"/>
    <tableColumn id="4" name="数量"/>
    <tableColumn id="5" name="说明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FixedPopulationLevels" displayName="FixedPopulationLevels" ref="A4:D8" totalsRowShown="0">
  <autoFilter xmlns:etc="http://www.wps.cn/officeDocument/2017/etCustomData" ref="A4:D8" etc:filterBottomFollowUsedRange="0"/>
  <tableColumns count="4">
    <tableColumn id="1" name="FamilyId"/>
    <tableColumn id="2" name="Level"/>
    <tableColumn id="3" name="提供人口"/>
    <tableColumn id="4" name="校验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InventoryCapacityLevels" displayName="InventoryCapacityLevels" ref="A4:D8" totalsRowShown="0">
  <autoFilter xmlns:etc="http://www.wps.cn/officeDocument/2017/etCustomData" ref="A4:D8" etc:filterBottomFollowUsedRange="0"/>
  <tableColumns count="4">
    <tableColumn id="1" name="FamilyId"/>
    <tableColumn id="2" name="Level"/>
    <tableColumn id="3" name="提供库存格"/>
    <tableColumn id="4" name="校验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echnologyPointLevels" displayName="TechnologyPointLevels" ref="A4:D8" totalsRowShown="0">
  <autoFilter xmlns:etc="http://www.wps.cn/officeDocument/2017/etCustomData" ref="A4:D8" etc:filterBottomFollowUsedRange="0"/>
  <tableColumns count="4">
    <tableColumn id="1" name="FamilyId"/>
    <tableColumn id="2" name="Level"/>
    <tableColumn id="3" name="科技点/回合"/>
    <tableColumn id="4" name="校验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ResidentialLevels" displayName="ResidentialLevels" ref="A4:K8" totalsRowShown="0">
  <autoFilter xmlns:etc="http://www.wps.cn/officeDocument/2017/etCustomData" ref="A4:K8" etc:filterBottomFollowUsedRange="0"/>
  <tableColumns count="11">
    <tableColumn id="1" name="FamilyId"/>
    <tableColumn id="2" name="Level"/>
    <tableColumn id="3" name="初始人口"/>
    <tableColumn id="4" name="人口上限"/>
    <tableColumn id="5" name="FoodItemId"/>
    <tableColumn id="6" name="增长回合"/>
    <tableColumn id="7" name="失败衰减阈值"/>
    <tableColumn id="8" name="TaxItemId"/>
    <tableColumn id="9" name="税收回合"/>
    <tableColumn id="10" name="满人口食物/回合"/>
    <tableColumn id="11" name="校验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WorkforceLevels" displayName="WorkforceLevels" ref="A4:J13" totalsRowShown="0">
  <autoFilter xmlns:etc="http://www.wps.cn/officeDocument/2017/etCustomData" ref="A4:J13" etc:filterBottomFollowUsedRange="0"/>
  <tableColumns count="10">
    <tableColumn id="1" name="FamilyId"/>
    <tableColumn id="2" name="Level"/>
    <tableColumn id="3" name="最大工人"/>
    <tableColumn id="4" name="初始工人"/>
    <tableColumn id="5" name="基础吸引力"/>
    <tableColumn id="6" name="招工金币"/>
    <tableColumn id="7" name="自动补贴"/>
    <tableColumn id="8" name="稳定目标工人"/>
    <tableColumn id="9" name="GoldItemId"/>
    <tableColumn id="10" name="校验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ProductionLevels" displayName="ProductionLevels" ref="A4:H13" totalsRowShown="0">
  <autoFilter xmlns:etc="http://www.wps.cn/officeDocument/2017/etCustomData" ref="A4:H13" etc:filterBottomFollowUsedRange="0"/>
  <tableColumns count="8">
    <tableColumn id="1" name="FamilyId"/>
    <tableColumn id="2" name="Level"/>
    <tableColumn id="3" name="OutputItemId"/>
    <tableColumn id="4" name="工人阈值"/>
    <tableColumn id="5" name="产量/周期"/>
    <tableColumn id="6" name="周期回合"/>
    <tableColumn id="7" name="产量/回合"/>
    <tableColumn id="8" name="校验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FishingRareLevels" displayName="FishingRareLevels" ref="A4:H6" totalsRowShown="0">
  <autoFilter xmlns:etc="http://www.wps.cn/officeDocument/2017/etCustomData" ref="A4:H6" etc:filterBottomFollowUsedRange="0"/>
  <tableColumns count="8">
    <tableColumn id="1" name="FamilyId"/>
    <tableColumn id="2" name="Level"/>
    <tableColumn id="3" name="启用"/>
    <tableColumn id="4" name="ItemId"/>
    <tableColumn id="5" name="最低工人"/>
    <tableColumn id="6" name="概率%"/>
    <tableColumn id="7" name="数量"/>
    <tableColumn id="8" name="校验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WarehouseLevels" displayName="WarehouseLevels" ref="A4:M7" totalsRowShown="0">
  <autoFilter xmlns:etc="http://www.wps.cn/officeDocument/2017/etCustomData" ref="A4:M7" etc:filterBottomFollowUsedRange="0"/>
  <tableColumns count="13">
    <tableColumn id="1" name="FamilyId"/>
    <tableColumn id="2" name="Level"/>
    <tableColumn id="3" name="容量所需工人"/>
    <tableColumn id="4" name="基础库存格"/>
    <tableColumn id="5" name="MaintenanceItemId"/>
    <tableColumn id="6" name="维护费/回合"/>
    <tableColumn id="7" name="经验所需工人"/>
    <tableColumn id="8" name="经验/回合"/>
    <tableColumn id="9" name="下级经验要求"/>
    <tableColumn id="10" name="奖励工人阈值"/>
    <tableColumn id="11" name="奖励库存格"/>
    <tableColumn id="12" name="维护失败吸引力惩罚"/>
    <tableColumn id="13" name="校验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MarketModule" displayName="MarketModule" ref="A4:E5" totalsRowShown="0">
  <autoFilter xmlns:etc="http://www.wps.cn/officeDocument/2017/etCustomData" ref="A4:E5" etc:filterBottomFollowUsedRange="0"/>
  <tableColumns count="5">
    <tableColumn id="1" name="FamilyId"/>
    <tableColumn id="2" name="GoldItemId"/>
    <tableColumn id="3" name="价值结算比例"/>
    <tableColumn id="4" name="显示比例"/>
    <tableColumn id="5" name="校验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TreeModule" displayName="TreeModule" ref="A4:K5" totalsRowShown="0">
  <autoFilter xmlns:etc="http://www.wps.cn/officeDocument/2017/etCustomData" ref="A4:K5" etc:filterBottomFollowUsedRange="0"/>
  <tableColumns count="11">
    <tableColumn id="1" name="FamilyId"/>
    <tableColumn id="2" name="最低生命"/>
    <tableColumn id="3" name="最高生命"/>
    <tableColumn id="4" name="双击伤害"/>
    <tableColumn id="5" name="WoodItemId"/>
    <tableColumn id="6" name="原木奖励"/>
    <tableColumn id="7" name="SaplingItemId"/>
    <tableColumn id="8" name="树苗奖励"/>
    <tableColumn id="9" name="平均生命"/>
    <tableColumn id="10" name="预计双击次数"/>
    <tableColumn id="11" name="校验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SpatialEffectModule" displayName="SpatialEffectModule" ref="A4:K5" totalsRowShown="0">
  <autoFilter xmlns:etc="http://www.wps.cn/officeDocument/2017/etCustomData" ref="A4:K5" etc:filterBottomFollowUsedRange="0"/>
  <tableColumns count="11">
    <tableColumn id="1" name="FamilyId"/>
    <tableColumn id="2" name="EffectId"/>
    <tableColumn id="3" name="显示名"/>
    <tableColumn id="4" name="Kind"/>
    <tableColumn id="5" name="TargetFilter"/>
    <tableColumn id="6" name="曼哈顿半径"/>
    <tableColumn id="7" name="效果数值"/>
    <tableColumn id="8" name="StackingRule"/>
    <tableColumn id="9" name="影响自身占地"/>
    <tableColumn id="10" name="覆盖格说明"/>
    <tableColumn id="11" name="校验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VisualStyleChecklist" displayName="VisualStyleChecklist" ref="A4:F12" totalsRowShown="0">
  <autoFilter xmlns:etc="http://www.wps.cn/officeDocument/2017/etCustomData" ref="A4:F12" etc:filterBottomFollowUsedRange="0"/>
  <tableColumns count="6">
    <tableColumn id="1" name="FamilyId"/>
    <tableColumn id="2" name="StyleId"/>
    <tableColumn id="3" name="菜单名称"/>
    <tableColumn id="4" name="IconAssetPath"/>
    <tableColumn id="5" name="LV1ViewAssetPath"/>
    <tableColumn id="6" name="回填状态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ImportDictionary" displayName="ImportDictionary" ref="A4:E39" totalsRowShown="0">
  <autoFilter xmlns:etc="http://www.wps.cn/officeDocument/2017/etCustomData" ref="A4:E39" etc:filterBottomFollowUsedRange="0"/>
  <tableColumns count="5">
    <tableColumn id="1" name="类型"/>
    <tableColumn id="2" name="稳定ID/名称"/>
    <tableColumn id="3" name="显示说明"/>
    <tableColumn id="4" name="Unity 解析目标"/>
    <tableColumn id="5" name="是否导入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WorkbookSummary" displayName="WorkbookSummary" ref="A4:E11" totalsRowShown="0">
  <autoFilter xmlns:etc="http://www.wps.cn/officeDocument/2017/etCustomData" ref="A4:E11" etc:filterBottomFollowUsedRange="0"/>
  <tableColumns count="5">
    <tableColumn id="1" name="检查项"/>
    <tableColumn id="2" name="当前值"/>
    <tableColumn id="3" name="基准/规则"/>
    <tableColumn id="4" name="状态"/>
    <tableColumn id="5" name="说明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showGridLines="0" workbookViewId="0">
      <selection activeCell="A1" sqref="A1:H1"/>
    </sheetView>
  </sheetViews>
  <sheetFormatPr defaultColWidth="9" defaultRowHeight="14.25" outlineLevelCol="7"/>
  <cols>
    <col min="1" max="1" width="18" style="25" customWidth="1"/>
    <col min="2" max="2" width="28" style="25" customWidth="1"/>
    <col min="3" max="8" width="18" style="25" customWidth="1"/>
  </cols>
  <sheetData>
    <row r="1" s="25" customFormat="1" ht="30" customHeight="1" spans="1:8">
      <c r="A1" s="26" t="s">
        <v>0</v>
      </c>
    </row>
    <row r="2" s="25" customFormat="1" ht="38" customHeight="1" spans="1:8">
      <c r="A2" s="27" t="s">
        <v>1</v>
      </c>
    </row>
    <row r="3" spans="1:8">
      <c r="A3" s="28"/>
      <c r="B3" s="28"/>
      <c r="C3" s="28"/>
      <c r="D3" s="28"/>
      <c r="E3" s="28"/>
      <c r="F3" s="28"/>
      <c r="G3" s="28"/>
      <c r="H3" s="28"/>
    </row>
    <row r="4" ht="15" spans="1:8">
      <c r="A4" s="60" t="s">
        <v>2</v>
      </c>
      <c r="B4" s="61">
        <v>10</v>
      </c>
      <c r="C4" s="28"/>
      <c r="D4" s="28"/>
      <c r="E4" s="28"/>
      <c r="F4" s="28"/>
      <c r="G4" s="28"/>
      <c r="H4" s="28"/>
    </row>
    <row r="5" s="25" customFormat="1" ht="42" customHeight="1" spans="1:8">
      <c r="A5" s="60" t="s">
        <v>3</v>
      </c>
      <c r="B5" s="61" t="s">
        <v>4</v>
      </c>
      <c r="C5" s="28"/>
      <c r="D5" s="28"/>
      <c r="E5" s="28"/>
      <c r="F5" s="28"/>
      <c r="G5" s="28"/>
      <c r="H5" s="28"/>
    </row>
    <row r="6" ht="15" spans="1:8">
      <c r="A6" s="60" t="s">
        <v>5</v>
      </c>
      <c r="B6" s="61">
        <f>COUNTA(建筑家族!A5:A200)</f>
        <v>16</v>
      </c>
      <c r="C6" s="28"/>
      <c r="D6" s="28"/>
      <c r="E6" s="28"/>
      <c r="F6" s="28"/>
      <c r="G6" s="28"/>
      <c r="H6" s="28"/>
    </row>
    <row r="7" ht="15" spans="1:8">
      <c r="A7" s="60" t="s">
        <v>6</v>
      </c>
      <c r="B7" s="61">
        <f>COUNTA(运营等级!A5:A200)</f>
        <v>34</v>
      </c>
      <c r="C7" s="28"/>
      <c r="D7" s="28"/>
      <c r="E7" s="28"/>
      <c r="F7" s="28"/>
      <c r="G7" s="28"/>
      <c r="H7" s="28"/>
    </row>
    <row r="8" s="25" customFormat="1" ht="42" customHeight="1" spans="1:8">
      <c r="A8" s="60" t="s">
        <v>7</v>
      </c>
      <c r="B8" s="61" t="s">
        <v>8</v>
      </c>
      <c r="C8" s="28"/>
      <c r="D8" s="28"/>
      <c r="E8" s="28"/>
      <c r="F8" s="28"/>
      <c r="G8" s="28"/>
      <c r="H8" s="28"/>
    </row>
    <row r="9" spans="1:8">
      <c r="A9" s="28"/>
      <c r="B9" s="28"/>
      <c r="C9" s="28"/>
      <c r="D9" s="28"/>
      <c r="E9" s="28"/>
      <c r="F9" s="28"/>
      <c r="G9" s="28"/>
      <c r="H9" s="28"/>
    </row>
    <row r="10" ht="15" spans="1:8">
      <c r="A10" s="62" t="s">
        <v>9</v>
      </c>
    </row>
    <row r="11" ht="15" spans="1:8">
      <c r="A11" s="63" t="s">
        <v>10</v>
      </c>
      <c r="B11" s="64" t="s">
        <v>11</v>
      </c>
      <c r="C11" s="65"/>
      <c r="D11" s="65"/>
      <c r="E11" s="65"/>
      <c r="F11" s="65"/>
      <c r="G11" s="65"/>
      <c r="H11" s="66"/>
    </row>
    <row r="12" ht="15" spans="1:8">
      <c r="A12" s="67" t="s">
        <v>12</v>
      </c>
      <c r="B12" s="68" t="s">
        <v>13</v>
      </c>
      <c r="C12" s="69"/>
      <c r="D12" s="69"/>
      <c r="E12" s="69"/>
      <c r="F12" s="69"/>
      <c r="G12" s="69"/>
      <c r="H12" s="70"/>
    </row>
    <row r="13" ht="15" spans="1:8">
      <c r="A13" s="67" t="s">
        <v>14</v>
      </c>
      <c r="B13" s="68" t="s">
        <v>15</v>
      </c>
      <c r="C13" s="69"/>
      <c r="D13" s="69"/>
      <c r="E13" s="69"/>
      <c r="F13" s="69"/>
      <c r="G13" s="69"/>
      <c r="H13" s="70"/>
    </row>
    <row r="14" ht="15" spans="1:8">
      <c r="A14" s="67" t="s">
        <v>16</v>
      </c>
      <c r="B14" s="68" t="s">
        <v>17</v>
      </c>
      <c r="C14" s="69"/>
      <c r="D14" s="69"/>
      <c r="E14" s="69"/>
      <c r="F14" s="69"/>
      <c r="G14" s="69"/>
      <c r="H14" s="70"/>
    </row>
    <row r="15" spans="1:8">
      <c r="A15" s="67" t="s">
        <v>18</v>
      </c>
      <c r="B15" s="68" t="s">
        <v>19</v>
      </c>
      <c r="C15" s="69"/>
      <c r="D15" s="69"/>
      <c r="E15" s="69"/>
      <c r="F15" s="69"/>
      <c r="G15" s="69"/>
      <c r="H15" s="70"/>
    </row>
    <row r="16" spans="1:8">
      <c r="A16" s="71" t="s">
        <v>20</v>
      </c>
      <c r="B16" s="72" t="s">
        <v>21</v>
      </c>
      <c r="C16" s="73"/>
      <c r="D16" s="73"/>
      <c r="E16" s="73"/>
      <c r="F16" s="73"/>
      <c r="G16" s="73"/>
      <c r="H16" s="74"/>
    </row>
    <row r="17" spans="1:8">
      <c r="A17" s="28"/>
      <c r="B17" s="28"/>
      <c r="C17" s="28"/>
      <c r="D17" s="28"/>
      <c r="E17" s="28"/>
      <c r="F17" s="28"/>
      <c r="G17" s="28"/>
      <c r="H17" s="28"/>
    </row>
    <row r="18" ht="15" spans="1:8">
      <c r="A18" s="62" t="s">
        <v>22</v>
      </c>
    </row>
    <row r="19" ht="15" spans="1:8">
      <c r="A19" s="75" t="s">
        <v>23</v>
      </c>
      <c r="B19" s="76" t="s">
        <v>24</v>
      </c>
    </row>
    <row r="20" ht="15" spans="1:8">
      <c r="A20" s="75" t="s">
        <v>25</v>
      </c>
      <c r="B20" s="76" t="s">
        <v>26</v>
      </c>
    </row>
    <row r="21" ht="15" spans="1:8">
      <c r="A21" s="75" t="s">
        <v>27</v>
      </c>
      <c r="B21" s="76" t="s">
        <v>28</v>
      </c>
    </row>
    <row r="22" ht="15" spans="1:8">
      <c r="A22" s="75" t="s">
        <v>29</v>
      </c>
      <c r="B22" s="76" t="s">
        <v>30</v>
      </c>
    </row>
    <row r="23" ht="15" spans="1:8">
      <c r="A23" s="75" t="s">
        <v>31</v>
      </c>
      <c r="B23" s="76" t="s">
        <v>32</v>
      </c>
    </row>
  </sheetData>
  <mergeCells count="15">
    <mergeCell ref="A1:H1"/>
    <mergeCell ref="A2:H2"/>
    <mergeCell ref="A10:H10"/>
    <mergeCell ref="B11:H11"/>
    <mergeCell ref="B12:H12"/>
    <mergeCell ref="B13:H13"/>
    <mergeCell ref="B14:H14"/>
    <mergeCell ref="B15:H15"/>
    <mergeCell ref="B16:H16"/>
    <mergeCell ref="A18:H18"/>
    <mergeCell ref="B19:H19"/>
    <mergeCell ref="B20:H20"/>
    <mergeCell ref="B21:H21"/>
    <mergeCell ref="B22:H22"/>
    <mergeCell ref="B23:H2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0"/>
  <sheetViews>
    <sheetView showGridLines="0" workbookViewId="0">
      <selection activeCell="A1" sqref="A1:U1"/>
    </sheetView>
  </sheetViews>
  <sheetFormatPr defaultColWidth="9" defaultRowHeight="14.25"/>
  <cols>
    <col min="1" max="1" width="28" style="25" customWidth="1"/>
    <col min="2" max="3" width="14" style="25" customWidth="1"/>
    <col min="4" max="5" width="8" style="25" customWidth="1"/>
    <col min="6" max="6" width="11" style="25" customWidth="1"/>
    <col min="7" max="7" width="16" style="25" customWidth="1"/>
    <col min="8" max="10" width="11" style="25" customWidth="1"/>
    <col min="11" max="11" width="28" style="25" customWidth="1"/>
    <col min="12" max="12" width="14" style="25" customWidth="1"/>
    <col min="13" max="13" width="13" style="25" customWidth="1"/>
    <col min="14" max="14" width="10" style="25" customWidth="1"/>
    <col min="15" max="15" width="11" style="25" customWidth="1"/>
    <col min="16" max="16" width="12" style="25" customWidth="1"/>
    <col min="17" max="17" width="17" style="25" customWidth="1"/>
    <col min="18" max="18" width="12" style="25" customWidth="1"/>
    <col min="19" max="19" width="42" style="25" customWidth="1"/>
    <col min="20" max="20" width="19" customWidth="1"/>
    <col min="21" max="21" width="34" customWidth="1"/>
  </cols>
  <sheetData>
    <row r="1" s="25" customFormat="1" ht="30" customHeight="1" spans="1:21">
      <c r="A1" s="26" t="s">
        <v>33</v>
      </c>
    </row>
    <row r="2" s="25" customFormat="1" ht="38" customHeight="1" spans="1:21">
      <c r="A2" s="27" t="s">
        <v>34</v>
      </c>
    </row>
    <row r="3" spans="1:21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</row>
    <row r="4" s="25" customFormat="1" ht="30" customHeight="1" spans="1:21">
      <c r="A4" s="29" t="s">
        <v>35</v>
      </c>
      <c r="B4" s="30" t="s">
        <v>36</v>
      </c>
      <c r="C4" s="30" t="s">
        <v>37</v>
      </c>
      <c r="D4" s="30" t="s">
        <v>38</v>
      </c>
      <c r="E4" s="30" t="s">
        <v>39</v>
      </c>
      <c r="F4" s="30" t="s">
        <v>40</v>
      </c>
      <c r="G4" s="30" t="s">
        <v>41</v>
      </c>
      <c r="H4" s="30" t="s">
        <v>42</v>
      </c>
      <c r="I4" s="30" t="s">
        <v>43</v>
      </c>
      <c r="J4" s="30" t="s">
        <v>44</v>
      </c>
      <c r="K4" s="30" t="s">
        <v>45</v>
      </c>
      <c r="L4" s="30" t="s">
        <v>46</v>
      </c>
      <c r="M4" s="30" t="s">
        <v>47</v>
      </c>
      <c r="N4" s="30" t="s">
        <v>48</v>
      </c>
      <c r="O4" s="30" t="s">
        <v>49</v>
      </c>
      <c r="P4" s="30" t="s">
        <v>50</v>
      </c>
      <c r="Q4" s="30" t="s">
        <v>51</v>
      </c>
      <c r="R4" s="30" t="s">
        <v>52</v>
      </c>
      <c r="S4" s="31" t="s">
        <v>53</v>
      </c>
      <c r="T4" s="23" t="s">
        <v>54</v>
      </c>
      <c r="U4" s="23" t="s">
        <v>55</v>
      </c>
    </row>
    <row r="5" spans="1:21">
      <c r="A5" s="32" t="s">
        <v>56</v>
      </c>
      <c r="B5" s="32" t="s">
        <v>57</v>
      </c>
      <c r="C5" s="32" t="s">
        <v>58</v>
      </c>
      <c r="D5" s="34">
        <v>4</v>
      </c>
      <c r="E5" s="34">
        <v>4</v>
      </c>
      <c r="F5" s="32" t="s">
        <v>59</v>
      </c>
      <c r="G5" s="32" t="s">
        <v>60</v>
      </c>
      <c r="H5" s="34">
        <v>0</v>
      </c>
      <c r="I5" s="34">
        <v>1</v>
      </c>
      <c r="J5" s="34">
        <v>1</v>
      </c>
      <c r="K5" s="32" t="s">
        <v>56</v>
      </c>
      <c r="L5" s="32" t="s">
        <v>59</v>
      </c>
      <c r="M5" s="32" t="s">
        <v>59</v>
      </c>
      <c r="N5" s="34">
        <v>0</v>
      </c>
      <c r="O5" s="32" t="s">
        <v>61</v>
      </c>
      <c r="P5" s="32" t="s">
        <v>61</v>
      </c>
      <c r="Q5" s="34">
        <v>0</v>
      </c>
      <c r="R5" s="34">
        <v>100</v>
      </c>
      <c r="S5" s="32" t="s">
        <v>62</v>
      </c>
      <c r="T5" s="24" t="s">
        <v>63</v>
      </c>
      <c r="U5" s="24" t="s">
        <v>64</v>
      </c>
    </row>
    <row r="6" spans="1:21">
      <c r="A6" s="36" t="s">
        <v>65</v>
      </c>
      <c r="B6" s="36" t="s">
        <v>66</v>
      </c>
      <c r="C6" s="36" t="s">
        <v>67</v>
      </c>
      <c r="D6" s="38">
        <v>1</v>
      </c>
      <c r="E6" s="38">
        <v>1</v>
      </c>
      <c r="F6" s="36" t="s">
        <v>59</v>
      </c>
      <c r="G6" s="36" t="s">
        <v>60</v>
      </c>
      <c r="H6" s="38">
        <v>0</v>
      </c>
      <c r="I6" s="38">
        <v>3</v>
      </c>
      <c r="J6" s="38">
        <v>99</v>
      </c>
      <c r="K6" s="36" t="s">
        <v>65</v>
      </c>
      <c r="L6" s="36" t="s">
        <v>59</v>
      </c>
      <c r="M6" s="36" t="s">
        <v>59</v>
      </c>
      <c r="N6" s="38">
        <v>0</v>
      </c>
      <c r="O6" s="36" t="s">
        <v>61</v>
      </c>
      <c r="P6" s="36" t="s">
        <v>59</v>
      </c>
      <c r="Q6" s="38">
        <v>0</v>
      </c>
      <c r="R6" s="38">
        <v>100</v>
      </c>
      <c r="S6" s="36" t="s">
        <v>68</v>
      </c>
      <c r="T6" s="24" t="s">
        <v>63</v>
      </c>
      <c r="U6" s="24" t="s">
        <v>64</v>
      </c>
    </row>
    <row r="7" spans="1:21">
      <c r="A7" s="36" t="s">
        <v>69</v>
      </c>
      <c r="B7" s="36" t="s">
        <v>70</v>
      </c>
      <c r="C7" s="36" t="s">
        <v>71</v>
      </c>
      <c r="D7" s="38">
        <v>1</v>
      </c>
      <c r="E7" s="38">
        <v>1</v>
      </c>
      <c r="F7" s="36" t="s">
        <v>59</v>
      </c>
      <c r="G7" s="36" t="s">
        <v>60</v>
      </c>
      <c r="H7" s="38">
        <v>0</v>
      </c>
      <c r="I7" s="38">
        <v>1</v>
      </c>
      <c r="J7" s="38">
        <v>0</v>
      </c>
      <c r="K7" s="36" t="s">
        <v>69</v>
      </c>
      <c r="L7" s="36" t="s">
        <v>61</v>
      </c>
      <c r="M7" s="36" t="s">
        <v>61</v>
      </c>
      <c r="N7" s="38">
        <v>0</v>
      </c>
      <c r="O7" s="36" t="s">
        <v>61</v>
      </c>
      <c r="P7" s="36" t="s">
        <v>59</v>
      </c>
      <c r="Q7" s="38">
        <v>0</v>
      </c>
      <c r="R7" s="38">
        <v>100</v>
      </c>
      <c r="S7" s="36" t="s">
        <v>72</v>
      </c>
      <c r="T7" s="24" t="s">
        <v>63</v>
      </c>
      <c r="U7" s="24" t="s">
        <v>73</v>
      </c>
    </row>
    <row r="8" spans="1:21">
      <c r="A8" s="36" t="s">
        <v>74</v>
      </c>
      <c r="B8" s="36" t="s">
        <v>75</v>
      </c>
      <c r="C8" s="36" t="s">
        <v>76</v>
      </c>
      <c r="D8" s="38">
        <v>2</v>
      </c>
      <c r="E8" s="38">
        <v>2</v>
      </c>
      <c r="F8" s="36" t="s">
        <v>59</v>
      </c>
      <c r="G8" s="36" t="s">
        <v>60</v>
      </c>
      <c r="H8" s="38">
        <v>0</v>
      </c>
      <c r="I8" s="38">
        <v>1</v>
      </c>
      <c r="J8" s="38">
        <v>0</v>
      </c>
      <c r="K8" s="36" t="s">
        <v>74</v>
      </c>
      <c r="L8" s="36" t="s">
        <v>59</v>
      </c>
      <c r="M8" s="36" t="s">
        <v>59</v>
      </c>
      <c r="N8" s="38">
        <v>0</v>
      </c>
      <c r="O8" s="36" t="s">
        <v>59</v>
      </c>
      <c r="P8" s="36" t="s">
        <v>59</v>
      </c>
      <c r="Q8" s="38">
        <v>0</v>
      </c>
      <c r="R8" s="38">
        <v>100</v>
      </c>
      <c r="S8" s="36" t="s">
        <v>77</v>
      </c>
      <c r="T8" s="24" t="s">
        <v>63</v>
      </c>
      <c r="U8" s="24" t="s">
        <v>64</v>
      </c>
    </row>
    <row r="9" spans="1:21">
      <c r="A9" s="36" t="s">
        <v>78</v>
      </c>
      <c r="B9" s="36" t="s">
        <v>79</v>
      </c>
      <c r="C9" s="36" t="s">
        <v>76</v>
      </c>
      <c r="D9" s="38">
        <v>2</v>
      </c>
      <c r="E9" s="38">
        <v>2</v>
      </c>
      <c r="F9" s="36" t="s">
        <v>59</v>
      </c>
      <c r="G9" s="36" t="s">
        <v>60</v>
      </c>
      <c r="H9" s="38">
        <v>0</v>
      </c>
      <c r="I9" s="38">
        <v>1</v>
      </c>
      <c r="J9" s="38">
        <v>0</v>
      </c>
      <c r="K9" s="36" t="s">
        <v>78</v>
      </c>
      <c r="L9" s="36" t="s">
        <v>59</v>
      </c>
      <c r="M9" s="36" t="s">
        <v>59</v>
      </c>
      <c r="N9" s="38">
        <v>0</v>
      </c>
      <c r="O9" s="36" t="s">
        <v>61</v>
      </c>
      <c r="P9" s="36" t="s">
        <v>59</v>
      </c>
      <c r="Q9" s="38">
        <v>0</v>
      </c>
      <c r="R9" s="38">
        <v>100</v>
      </c>
      <c r="S9" s="36" t="s">
        <v>80</v>
      </c>
      <c r="T9" s="24" t="s">
        <v>63</v>
      </c>
      <c r="U9" s="24" t="s">
        <v>64</v>
      </c>
    </row>
    <row r="10" spans="1:21">
      <c r="A10" s="36" t="s">
        <v>81</v>
      </c>
      <c r="B10" s="36" t="s">
        <v>82</v>
      </c>
      <c r="C10" s="36" t="s">
        <v>83</v>
      </c>
      <c r="D10" s="38">
        <v>1</v>
      </c>
      <c r="E10" s="38">
        <v>1</v>
      </c>
      <c r="F10" s="36" t="s">
        <v>59</v>
      </c>
      <c r="G10" s="36" t="s">
        <v>60</v>
      </c>
      <c r="H10" s="38">
        <v>0</v>
      </c>
      <c r="I10" s="38">
        <v>1</v>
      </c>
      <c r="J10" s="38">
        <v>0</v>
      </c>
      <c r="K10" s="36" t="s">
        <v>81</v>
      </c>
      <c r="L10" s="36" t="s">
        <v>59</v>
      </c>
      <c r="M10" s="36" t="s">
        <v>59</v>
      </c>
      <c r="N10" s="38">
        <v>0</v>
      </c>
      <c r="O10" s="36" t="s">
        <v>61</v>
      </c>
      <c r="P10" s="36" t="s">
        <v>61</v>
      </c>
      <c r="Q10" s="38">
        <v>10</v>
      </c>
      <c r="R10" s="38">
        <v>100</v>
      </c>
      <c r="S10" s="36" t="s">
        <v>84</v>
      </c>
      <c r="T10" s="24" t="s">
        <v>63</v>
      </c>
      <c r="U10" s="24" t="s">
        <v>64</v>
      </c>
    </row>
    <row r="11" spans="1:21">
      <c r="A11" s="36" t="s">
        <v>85</v>
      </c>
      <c r="B11" s="36" t="s">
        <v>86</v>
      </c>
      <c r="C11" s="59" t="s">
        <v>87</v>
      </c>
      <c r="D11" s="38">
        <v>2</v>
      </c>
      <c r="E11" s="38">
        <v>2</v>
      </c>
      <c r="F11" s="36" t="s">
        <v>59</v>
      </c>
      <c r="G11" s="36" t="s">
        <v>60</v>
      </c>
      <c r="H11" s="38">
        <v>0</v>
      </c>
      <c r="I11" s="38">
        <v>3</v>
      </c>
      <c r="J11" s="38">
        <v>0</v>
      </c>
      <c r="K11" s="36" t="s">
        <v>85</v>
      </c>
      <c r="L11" s="36" t="s">
        <v>59</v>
      </c>
      <c r="M11" s="36" t="s">
        <v>59</v>
      </c>
      <c r="N11" s="38">
        <v>30</v>
      </c>
      <c r="O11" s="36" t="s">
        <v>61</v>
      </c>
      <c r="P11" s="36" t="s">
        <v>59</v>
      </c>
      <c r="Q11" s="38">
        <v>0</v>
      </c>
      <c r="R11" s="38">
        <v>100</v>
      </c>
      <c r="S11" s="36" t="s">
        <v>88</v>
      </c>
      <c r="T11" s="24" t="s">
        <v>63</v>
      </c>
      <c r="U11" s="24" t="s">
        <v>64</v>
      </c>
    </row>
    <row r="12" spans="1:21">
      <c r="A12" s="36" t="s">
        <v>89</v>
      </c>
      <c r="B12" s="36" t="s">
        <v>90</v>
      </c>
      <c r="C12" s="36" t="s">
        <v>91</v>
      </c>
      <c r="D12" s="38">
        <v>1</v>
      </c>
      <c r="E12" s="38">
        <v>1</v>
      </c>
      <c r="F12" s="36" t="s">
        <v>59</v>
      </c>
      <c r="G12" s="36" t="s">
        <v>60</v>
      </c>
      <c r="H12" s="38">
        <v>5</v>
      </c>
      <c r="I12" s="38">
        <v>1</v>
      </c>
      <c r="J12" s="38">
        <v>0</v>
      </c>
      <c r="K12" s="36" t="s">
        <v>89</v>
      </c>
      <c r="L12" s="36" t="s">
        <v>59</v>
      </c>
      <c r="M12" s="36" t="s">
        <v>59</v>
      </c>
      <c r="N12" s="38">
        <v>0</v>
      </c>
      <c r="O12" s="36" t="s">
        <v>61</v>
      </c>
      <c r="P12" s="36" t="s">
        <v>59</v>
      </c>
      <c r="Q12" s="38">
        <v>0</v>
      </c>
      <c r="R12" s="38">
        <v>100</v>
      </c>
      <c r="S12" s="36" t="s">
        <v>92</v>
      </c>
      <c r="T12" s="24" t="s">
        <v>63</v>
      </c>
      <c r="U12" s="24" t="s">
        <v>64</v>
      </c>
    </row>
    <row r="13" spans="1:21">
      <c r="A13" s="36" t="s">
        <v>93</v>
      </c>
      <c r="B13" s="36" t="s">
        <v>94</v>
      </c>
      <c r="C13" s="36" t="s">
        <v>95</v>
      </c>
      <c r="D13" s="38">
        <v>1</v>
      </c>
      <c r="E13" s="38">
        <v>1</v>
      </c>
      <c r="F13" s="36" t="s">
        <v>59</v>
      </c>
      <c r="G13" s="36" t="s">
        <v>60</v>
      </c>
      <c r="H13" s="38">
        <v>0</v>
      </c>
      <c r="I13" s="38">
        <v>1</v>
      </c>
      <c r="J13" s="38">
        <v>0</v>
      </c>
      <c r="K13" s="36" t="s">
        <v>93</v>
      </c>
      <c r="L13" s="36" t="s">
        <v>59</v>
      </c>
      <c r="M13" s="36" t="s">
        <v>59</v>
      </c>
      <c r="N13" s="38">
        <v>0</v>
      </c>
      <c r="O13" s="36" t="s">
        <v>61</v>
      </c>
      <c r="P13" s="36" t="s">
        <v>59</v>
      </c>
      <c r="Q13" s="38">
        <v>0</v>
      </c>
      <c r="R13" s="38">
        <v>100</v>
      </c>
      <c r="S13" s="36" t="s">
        <v>96</v>
      </c>
      <c r="T13" s="24" t="s">
        <v>63</v>
      </c>
      <c r="U13" s="24" t="s">
        <v>64</v>
      </c>
    </row>
    <row r="14" spans="1:21">
      <c r="A14" s="36" t="s">
        <v>97</v>
      </c>
      <c r="B14" s="36" t="s">
        <v>98</v>
      </c>
      <c r="C14" s="36" t="s">
        <v>95</v>
      </c>
      <c r="D14" s="38">
        <v>1</v>
      </c>
      <c r="E14" s="38">
        <v>1</v>
      </c>
      <c r="F14" s="36" t="s">
        <v>59</v>
      </c>
      <c r="G14" s="36" t="s">
        <v>60</v>
      </c>
      <c r="H14" s="38">
        <v>0</v>
      </c>
      <c r="I14" s="38">
        <v>1</v>
      </c>
      <c r="J14" s="38">
        <v>0</v>
      </c>
      <c r="K14" s="36" t="s">
        <v>97</v>
      </c>
      <c r="L14" s="36" t="s">
        <v>61</v>
      </c>
      <c r="M14" s="36" t="s">
        <v>61</v>
      </c>
      <c r="N14" s="38">
        <v>0</v>
      </c>
      <c r="O14" s="36" t="s">
        <v>61</v>
      </c>
      <c r="P14" s="36" t="s">
        <v>59</v>
      </c>
      <c r="Q14" s="38">
        <v>0</v>
      </c>
      <c r="R14" s="38">
        <v>100</v>
      </c>
      <c r="S14" s="36" t="s">
        <v>99</v>
      </c>
      <c r="T14" s="24" t="s">
        <v>63</v>
      </c>
      <c r="U14" s="24" t="s">
        <v>100</v>
      </c>
    </row>
    <row r="15" spans="1:21">
      <c r="A15" s="28" t="s">
        <v>101</v>
      </c>
      <c r="B15" s="28" t="s">
        <v>102</v>
      </c>
      <c r="C15" s="28" t="s">
        <v>71</v>
      </c>
      <c r="D15" s="42">
        <v>3</v>
      </c>
      <c r="E15" s="42">
        <v>3</v>
      </c>
      <c r="F15" s="28" t="s">
        <v>59</v>
      </c>
      <c r="G15" s="28" t="s">
        <v>103</v>
      </c>
      <c r="H15" s="42">
        <v>0</v>
      </c>
      <c r="I15" s="42">
        <v>3</v>
      </c>
      <c r="J15" s="42">
        <v>0</v>
      </c>
      <c r="K15" s="28" t="s">
        <v>101</v>
      </c>
      <c r="L15" s="28" t="s">
        <v>61</v>
      </c>
      <c r="M15" s="28" t="s">
        <v>61</v>
      </c>
      <c r="N15" s="42">
        <v>40</v>
      </c>
      <c r="O15" s="28" t="s">
        <v>61</v>
      </c>
      <c r="P15" s="28" t="s">
        <v>59</v>
      </c>
      <c r="Q15" s="42">
        <v>0</v>
      </c>
      <c r="R15" s="42">
        <v>100</v>
      </c>
      <c r="S15" s="28" t="s">
        <v>104</v>
      </c>
      <c r="T15" s="24" t="s">
        <v>63</v>
      </c>
      <c r="U15" s="24" t="s">
        <v>105</v>
      </c>
    </row>
    <row r="16" spans="1:21">
      <c r="A16" s="28" t="s">
        <v>106</v>
      </c>
      <c r="B16" s="28" t="s">
        <v>107</v>
      </c>
      <c r="C16" s="28" t="s">
        <v>108</v>
      </c>
      <c r="D16" s="42">
        <v>2</v>
      </c>
      <c r="E16" s="42">
        <v>2</v>
      </c>
      <c r="F16" s="28" t="s">
        <v>59</v>
      </c>
      <c r="G16" s="28" t="s">
        <v>60</v>
      </c>
      <c r="H16" s="42">
        <v>0</v>
      </c>
      <c r="I16" s="42">
        <v>2</v>
      </c>
      <c r="J16" s="42">
        <v>0</v>
      </c>
      <c r="K16" s="28" t="s">
        <v>106</v>
      </c>
      <c r="L16" s="28" t="s">
        <v>59</v>
      </c>
      <c r="M16" s="28" t="s">
        <v>59</v>
      </c>
      <c r="N16" s="42">
        <v>35</v>
      </c>
      <c r="O16" s="28" t="s">
        <v>61</v>
      </c>
      <c r="P16" s="28" t="s">
        <v>59</v>
      </c>
      <c r="Q16" s="42">
        <v>0</v>
      </c>
      <c r="R16" s="42">
        <v>100</v>
      </c>
      <c r="S16" s="28" t="s">
        <v>109</v>
      </c>
      <c r="T16" s="24" t="s">
        <v>63</v>
      </c>
      <c r="U16" s="24" t="s">
        <v>64</v>
      </c>
    </row>
    <row r="17" ht="27.75" spans="1:21">
      <c r="A17" s="56" t="s">
        <v>110</v>
      </c>
      <c r="B17" s="56" t="s">
        <v>111</v>
      </c>
      <c r="C17" s="56" t="s">
        <v>58</v>
      </c>
      <c r="D17" s="57">
        <v>2</v>
      </c>
      <c r="E17" s="57">
        <v>2</v>
      </c>
      <c r="F17" s="56" t="s">
        <v>59</v>
      </c>
      <c r="G17" s="56" t="s">
        <v>60</v>
      </c>
      <c r="H17" s="57">
        <v>0</v>
      </c>
      <c r="I17" s="57">
        <v>2</v>
      </c>
      <c r="J17" s="57">
        <v>0</v>
      </c>
      <c r="K17" s="56" t="s">
        <v>110</v>
      </c>
      <c r="L17" s="56" t="s">
        <v>61</v>
      </c>
      <c r="M17" s="56" t="s">
        <v>61</v>
      </c>
      <c r="N17" s="57">
        <v>36</v>
      </c>
      <c r="O17" s="56" t="s">
        <v>61</v>
      </c>
      <c r="P17" s="56" t="s">
        <v>59</v>
      </c>
      <c r="Q17" s="57">
        <v>0</v>
      </c>
      <c r="R17" s="57">
        <v>100</v>
      </c>
      <c r="S17" s="56" t="s">
        <v>112</v>
      </c>
      <c r="T17" s="56"/>
      <c r="U17" s="56" t="s">
        <v>113</v>
      </c>
    </row>
    <row r="18" spans="1:21">
      <c r="A18" s="28" t="s">
        <v>114</v>
      </c>
      <c r="B18" s="28" t="s">
        <v>115</v>
      </c>
      <c r="C18" s="28" t="s">
        <v>76</v>
      </c>
      <c r="D18" s="42">
        <v>2</v>
      </c>
      <c r="E18" s="42">
        <v>2</v>
      </c>
      <c r="F18" s="28" t="s">
        <v>59</v>
      </c>
      <c r="G18" s="28" t="s">
        <v>60</v>
      </c>
      <c r="H18" s="42">
        <v>0</v>
      </c>
      <c r="I18" s="42">
        <v>3</v>
      </c>
      <c r="J18" s="42">
        <v>0</v>
      </c>
      <c r="K18" s="28" t="s">
        <v>114</v>
      </c>
      <c r="L18" s="28" t="s">
        <v>61</v>
      </c>
      <c r="M18" s="28" t="s">
        <v>61</v>
      </c>
      <c r="N18" s="42">
        <v>30</v>
      </c>
      <c r="O18" s="28" t="s">
        <v>61</v>
      </c>
      <c r="P18" s="28" t="s">
        <v>59</v>
      </c>
      <c r="Q18" s="42">
        <v>0</v>
      </c>
      <c r="R18" s="42">
        <v>100</v>
      </c>
      <c r="S18" s="28" t="s">
        <v>116</v>
      </c>
      <c r="T18" s="24"/>
      <c r="U18" s="24" t="s">
        <v>117</v>
      </c>
    </row>
    <row r="19" spans="1:21">
      <c r="A19" s="28" t="s">
        <v>118</v>
      </c>
      <c r="B19" s="28" t="s">
        <v>119</v>
      </c>
      <c r="C19" s="28" t="s">
        <v>71</v>
      </c>
      <c r="D19" s="42">
        <v>1</v>
      </c>
      <c r="E19" s="42">
        <v>1</v>
      </c>
      <c r="F19" s="28" t="s">
        <v>59</v>
      </c>
      <c r="G19" s="28" t="s">
        <v>60</v>
      </c>
      <c r="H19" s="42">
        <v>0</v>
      </c>
      <c r="I19" s="42">
        <v>1</v>
      </c>
      <c r="J19" s="42">
        <v>0</v>
      </c>
      <c r="K19" s="28" t="s">
        <v>118</v>
      </c>
      <c r="L19" s="28" t="s">
        <v>59</v>
      </c>
      <c r="M19" s="28" t="s">
        <v>59</v>
      </c>
      <c r="N19" s="42">
        <v>0</v>
      </c>
      <c r="O19" s="28" t="s">
        <v>61</v>
      </c>
      <c r="P19" s="28" t="s">
        <v>59</v>
      </c>
      <c r="Q19" s="42">
        <v>0</v>
      </c>
      <c r="R19" s="42">
        <v>100</v>
      </c>
      <c r="S19" s="28" t="s">
        <v>120</v>
      </c>
      <c r="T19" s="24"/>
      <c r="U19" s="24" t="s">
        <v>64</v>
      </c>
    </row>
    <row r="20" spans="1:21">
      <c r="A20" s="28" t="s">
        <v>121</v>
      </c>
      <c r="B20" s="28" t="s">
        <v>122</v>
      </c>
      <c r="C20" s="28" t="s">
        <v>71</v>
      </c>
      <c r="D20" s="42">
        <v>1</v>
      </c>
      <c r="E20" s="42">
        <v>1</v>
      </c>
      <c r="F20" s="28" t="s">
        <v>59</v>
      </c>
      <c r="G20" s="28" t="s">
        <v>60</v>
      </c>
      <c r="H20" s="42">
        <v>0</v>
      </c>
      <c r="I20" s="42">
        <v>1</v>
      </c>
      <c r="J20" s="42">
        <v>0</v>
      </c>
      <c r="K20" s="28" t="s">
        <v>121</v>
      </c>
      <c r="L20" s="28" t="s">
        <v>59</v>
      </c>
      <c r="M20" s="28" t="s">
        <v>59</v>
      </c>
      <c r="N20" s="42">
        <v>0</v>
      </c>
      <c r="O20" s="28" t="s">
        <v>61</v>
      </c>
      <c r="P20" s="28" t="s">
        <v>59</v>
      </c>
      <c r="Q20" s="42">
        <v>0</v>
      </c>
      <c r="R20" s="42">
        <v>100</v>
      </c>
      <c r="S20" s="28" t="s">
        <v>123</v>
      </c>
      <c r="T20" s="24"/>
      <c r="U20" s="24" t="s">
        <v>64</v>
      </c>
    </row>
    <row r="21" spans="1:21">
      <c r="A21" s="28"/>
      <c r="B21" s="28"/>
      <c r="C21" s="28"/>
      <c r="D21" s="42"/>
      <c r="E21" s="42"/>
      <c r="F21" s="28"/>
      <c r="G21" s="28"/>
      <c r="H21" s="42"/>
      <c r="I21" s="42"/>
      <c r="J21" s="42"/>
      <c r="K21" s="28"/>
      <c r="L21" s="28"/>
      <c r="M21" s="28"/>
      <c r="N21" s="42"/>
      <c r="O21" s="28"/>
      <c r="P21" s="28"/>
      <c r="Q21" s="42"/>
      <c r="R21" s="42"/>
      <c r="S21" s="28"/>
      <c r="T21" s="24"/>
      <c r="U21" s="24"/>
    </row>
    <row r="22" spans="1:21">
      <c r="A22" s="28"/>
      <c r="B22" s="28"/>
      <c r="C22" s="28"/>
      <c r="D22" s="42"/>
      <c r="E22" s="42"/>
      <c r="F22" s="28"/>
      <c r="G22" s="28"/>
      <c r="H22" s="42"/>
      <c r="I22" s="42"/>
      <c r="J22" s="42"/>
      <c r="K22" s="28"/>
      <c r="L22" s="28"/>
      <c r="M22" s="28"/>
      <c r="N22" s="42"/>
      <c r="O22" s="28"/>
      <c r="P22" s="28"/>
      <c r="Q22" s="42"/>
      <c r="R22" s="42"/>
      <c r="S22" s="28"/>
      <c r="T22" s="24"/>
      <c r="U22" s="24"/>
    </row>
    <row r="23" spans="1:21">
      <c r="A23" s="28"/>
      <c r="B23" s="28"/>
      <c r="C23" s="28"/>
      <c r="D23" s="42"/>
      <c r="E23" s="42"/>
      <c r="F23" s="28"/>
      <c r="G23" s="28"/>
      <c r="H23" s="42"/>
      <c r="I23" s="42"/>
      <c r="J23" s="42"/>
      <c r="K23" s="28"/>
      <c r="L23" s="28"/>
      <c r="M23" s="28"/>
      <c r="N23" s="42"/>
      <c r="O23" s="28"/>
      <c r="P23" s="28"/>
      <c r="Q23" s="42"/>
      <c r="R23" s="42"/>
      <c r="S23" s="28"/>
      <c r="T23" s="24"/>
      <c r="U23" s="24"/>
    </row>
    <row r="24" spans="1:21">
      <c r="A24" s="28"/>
      <c r="B24" s="28"/>
      <c r="C24" s="28"/>
      <c r="D24" s="42"/>
      <c r="E24" s="42"/>
      <c r="F24" s="28"/>
      <c r="G24" s="28"/>
      <c r="H24" s="42"/>
      <c r="I24" s="42"/>
      <c r="J24" s="42"/>
      <c r="K24" s="28"/>
      <c r="L24" s="28"/>
      <c r="M24" s="28"/>
      <c r="N24" s="42"/>
      <c r="O24" s="28"/>
      <c r="P24" s="28"/>
      <c r="Q24" s="42"/>
      <c r="R24" s="42"/>
      <c r="S24" s="28"/>
      <c r="T24" s="24"/>
      <c r="U24" s="24"/>
    </row>
    <row r="25" spans="1:21">
      <c r="T25" s="24"/>
      <c r="U25" s="24"/>
    </row>
    <row r="26" spans="1:21">
      <c r="T26" s="24"/>
      <c r="U26" s="24"/>
    </row>
    <row r="27" spans="1:21">
      <c r="T27" s="24"/>
      <c r="U27" s="24"/>
    </row>
    <row r="28" spans="1:21">
      <c r="T28" s="24"/>
      <c r="U28" s="24"/>
    </row>
    <row r="29" spans="1:21">
      <c r="T29" s="24"/>
      <c r="U29" s="24"/>
    </row>
    <row r="30" spans="1:21">
      <c r="T30" s="24"/>
      <c r="U30" s="24"/>
    </row>
    <row r="31" spans="1:21">
      <c r="T31" s="24"/>
      <c r="U31" s="24"/>
    </row>
    <row r="32" spans="1:21">
      <c r="T32" s="24"/>
      <c r="U32" s="24"/>
    </row>
    <row r="33" spans="20:21">
      <c r="T33" s="24"/>
      <c r="U33" s="24"/>
    </row>
    <row r="34" spans="20:21">
      <c r="T34" s="24"/>
      <c r="U34" s="24"/>
    </row>
    <row r="35" spans="20:21">
      <c r="T35" s="24"/>
      <c r="U35" s="24"/>
    </row>
    <row r="36" spans="20:21">
      <c r="T36" s="24"/>
      <c r="U36" s="24"/>
    </row>
    <row r="37" spans="20:21">
      <c r="T37" s="24"/>
      <c r="U37" s="24"/>
    </row>
    <row r="38" spans="20:21">
      <c r="T38" s="24"/>
      <c r="U38" s="24"/>
    </row>
    <row r="39" spans="20:21">
      <c r="T39" s="24"/>
      <c r="U39" s="24"/>
    </row>
    <row r="40" spans="20:21">
      <c r="T40" s="24"/>
      <c r="U40" s="24"/>
    </row>
  </sheetData>
  <mergeCells count="2">
    <mergeCell ref="A1:U1"/>
    <mergeCell ref="A2:U2"/>
  </mergeCells>
  <dataValidations count="2">
    <dataValidation type="list" sqref="C5:C24">
      <formula1>"人口,农业,工业,经济,科研,市政,军事,交通,装饰,奇观"</formula1>
    </dataValidation>
    <dataValidation type="list" sqref="F5:F24 L5:M24 O5:P2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showGridLines="0" workbookViewId="0">
      <selection activeCell="A1" sqref="A1:D1"/>
    </sheetView>
  </sheetViews>
  <sheetFormatPr defaultColWidth="9" defaultRowHeight="14.25" outlineLevelCol="3"/>
  <cols>
    <col min="1" max="1" width="28" style="25" customWidth="1"/>
    <col min="2" max="2" width="16" style="25" customWidth="1"/>
    <col min="3" max="3" width="10" style="25" customWidth="1"/>
    <col min="4" max="4" width="40" style="25" customWidth="1"/>
  </cols>
  <sheetData>
    <row r="1" s="25" customFormat="1" ht="30" customHeight="1" spans="1:4">
      <c r="A1" s="26" t="s">
        <v>124</v>
      </c>
    </row>
    <row r="2" s="25" customFormat="1" ht="38" customHeight="1" spans="1:4">
      <c r="A2" s="27" t="s">
        <v>125</v>
      </c>
    </row>
    <row r="3" spans="1:4">
      <c r="A3" s="28"/>
      <c r="B3" s="28"/>
      <c r="C3" s="28"/>
      <c r="D3" s="28"/>
    </row>
    <row r="4" s="25" customFormat="1" ht="30" customHeight="1" spans="1:4">
      <c r="A4" s="29" t="s">
        <v>35</v>
      </c>
      <c r="B4" s="30" t="s">
        <v>16</v>
      </c>
      <c r="C4" s="30" t="s">
        <v>126</v>
      </c>
      <c r="D4" s="31" t="s">
        <v>53</v>
      </c>
    </row>
    <row r="5" spans="1:4">
      <c r="A5" s="32" t="s">
        <v>65</v>
      </c>
      <c r="B5" s="32" t="s">
        <v>127</v>
      </c>
      <c r="C5" s="34">
        <v>30</v>
      </c>
      <c r="D5" s="32" t="s">
        <v>128</v>
      </c>
    </row>
    <row r="6" spans="1:4">
      <c r="A6" s="36" t="s">
        <v>65</v>
      </c>
      <c r="B6" s="36" t="s">
        <v>129</v>
      </c>
      <c r="C6" s="38">
        <v>1</v>
      </c>
      <c r="D6" s="36" t="s">
        <v>128</v>
      </c>
    </row>
    <row r="7" spans="1:4">
      <c r="A7" s="36" t="s">
        <v>65</v>
      </c>
      <c r="B7" s="36" t="s">
        <v>130</v>
      </c>
      <c r="C7" s="38">
        <v>1</v>
      </c>
      <c r="D7" s="36" t="s">
        <v>128</v>
      </c>
    </row>
    <row r="8" spans="1:4">
      <c r="A8" s="36" t="s">
        <v>93</v>
      </c>
      <c r="B8" s="36" t="s">
        <v>127</v>
      </c>
      <c r="C8" s="38">
        <v>10</v>
      </c>
      <c r="D8" s="36" t="s">
        <v>131</v>
      </c>
    </row>
    <row r="9" spans="1:4">
      <c r="A9" s="36" t="s">
        <v>93</v>
      </c>
      <c r="B9" s="36" t="s">
        <v>132</v>
      </c>
      <c r="C9" s="38">
        <v>1</v>
      </c>
      <c r="D9" s="36" t="s">
        <v>131</v>
      </c>
    </row>
    <row r="10" spans="1:4">
      <c r="A10" s="36" t="s">
        <v>85</v>
      </c>
      <c r="B10" s="36" t="s">
        <v>127</v>
      </c>
      <c r="C10" s="38">
        <v>30</v>
      </c>
      <c r="D10" s="36" t="s">
        <v>128</v>
      </c>
    </row>
    <row r="11" spans="1:4">
      <c r="A11" s="36" t="s">
        <v>97</v>
      </c>
      <c r="B11" s="36" t="s">
        <v>127</v>
      </c>
      <c r="C11" s="38">
        <v>100</v>
      </c>
      <c r="D11" s="36" t="s">
        <v>133</v>
      </c>
    </row>
    <row r="12" spans="1:4">
      <c r="A12" s="28" t="s">
        <v>101</v>
      </c>
      <c r="B12" s="28" t="s">
        <v>127</v>
      </c>
      <c r="C12" s="42">
        <v>100</v>
      </c>
      <c r="D12" s="28" t="s">
        <v>133</v>
      </c>
    </row>
    <row r="13" spans="1:4">
      <c r="A13" s="28" t="s">
        <v>106</v>
      </c>
      <c r="B13" s="28" t="s">
        <v>127</v>
      </c>
      <c r="C13" s="42">
        <v>20</v>
      </c>
      <c r="D13" s="28" t="s">
        <v>133</v>
      </c>
    </row>
    <row r="14" spans="1:4">
      <c r="A14" s="56" t="s">
        <v>110</v>
      </c>
      <c r="B14" s="56" t="s">
        <v>127</v>
      </c>
      <c r="C14" s="57">
        <v>20</v>
      </c>
      <c r="D14" s="56" t="s">
        <v>133</v>
      </c>
    </row>
    <row r="15" spans="1:4">
      <c r="A15" s="28" t="s">
        <v>114</v>
      </c>
      <c r="B15" s="28" t="s">
        <v>127</v>
      </c>
      <c r="C15" s="42">
        <v>30</v>
      </c>
      <c r="D15" s="28" t="s">
        <v>133</v>
      </c>
    </row>
    <row r="16" spans="1:4">
      <c r="A16" s="28"/>
      <c r="B16" s="28"/>
      <c r="C16" s="42"/>
      <c r="D16" s="28"/>
    </row>
    <row r="17" spans="1:4">
      <c r="A17" s="28"/>
      <c r="B17" s="28"/>
      <c r="C17" s="42"/>
      <c r="D17" s="28"/>
    </row>
    <row r="18" spans="1:4">
      <c r="A18" s="28"/>
      <c r="B18" s="28"/>
      <c r="C18" s="42"/>
      <c r="D18" s="28"/>
    </row>
    <row r="19" spans="1:4">
      <c r="A19" s="28"/>
      <c r="B19" s="28"/>
      <c r="C19" s="42"/>
      <c r="D19" s="28"/>
    </row>
    <row r="20" spans="1:4">
      <c r="A20" s="28"/>
      <c r="B20" s="28"/>
      <c r="C20" s="42"/>
      <c r="D20" s="28"/>
    </row>
    <row r="21" spans="1:4">
      <c r="A21" s="28"/>
      <c r="B21" s="28"/>
      <c r="C21" s="42"/>
      <c r="D21" s="28"/>
    </row>
    <row r="22" spans="1:4">
      <c r="A22" s="28"/>
      <c r="B22" s="28"/>
      <c r="C22" s="42"/>
      <c r="D22" s="28"/>
    </row>
    <row r="23" spans="1:4">
      <c r="A23" s="28"/>
      <c r="B23" s="28"/>
      <c r="C23" s="42"/>
      <c r="D23" s="28"/>
    </row>
    <row r="24" spans="1:4">
      <c r="A24" s="28"/>
      <c r="B24" s="28"/>
      <c r="C24" s="42"/>
      <c r="D24" s="28"/>
    </row>
  </sheetData>
  <mergeCells count="2">
    <mergeCell ref="A1:D1"/>
    <mergeCell ref="A2:D2"/>
  </mergeCells>
  <dataValidations count="2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B5:B24">
      <formula1>"金币,泥土,石头,原木,木板,树苗,蔬菜,鱼,黄金鱼"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showGridLines="0" workbookViewId="0">
      <selection activeCell="A1" sqref="A1:E1"/>
    </sheetView>
  </sheetViews>
  <sheetFormatPr defaultColWidth="9" defaultRowHeight="14.25" outlineLevelCol="4"/>
  <cols>
    <col min="1" max="1" width="28" style="25" customWidth="1"/>
    <col min="2" max="2" width="12" style="25" customWidth="1"/>
    <col min="3" max="3" width="16" style="25" customWidth="1"/>
    <col min="4" max="4" width="10" style="25" customWidth="1"/>
    <col min="5" max="5" width="36" style="25" customWidth="1"/>
  </cols>
  <sheetData>
    <row r="1" s="25" customFormat="1" ht="30" customHeight="1" spans="1:5">
      <c r="A1" s="26" t="s">
        <v>134</v>
      </c>
    </row>
    <row r="2" s="25" customFormat="1" ht="38" customHeight="1" spans="1:5">
      <c r="A2" s="27" t="s">
        <v>135</v>
      </c>
    </row>
    <row r="3" spans="1:5">
      <c r="A3" s="28"/>
      <c r="B3" s="28"/>
      <c r="C3" s="28"/>
      <c r="D3" s="28"/>
      <c r="E3" s="28"/>
    </row>
    <row r="4" s="25" customFormat="1" ht="30" customHeight="1" spans="1:5">
      <c r="A4" s="29" t="s">
        <v>35</v>
      </c>
      <c r="B4" s="30" t="s">
        <v>136</v>
      </c>
      <c r="C4" s="30" t="s">
        <v>16</v>
      </c>
      <c r="D4" s="30" t="s">
        <v>126</v>
      </c>
      <c r="E4" s="31" t="s">
        <v>53</v>
      </c>
    </row>
    <row r="5" spans="1:5">
      <c r="A5" s="32" t="s">
        <v>65</v>
      </c>
      <c r="B5" s="34">
        <v>1</v>
      </c>
      <c r="C5" s="34" t="s">
        <v>137</v>
      </c>
      <c r="D5" s="34">
        <v>10</v>
      </c>
      <c r="E5" s="32" t="s">
        <v>138</v>
      </c>
    </row>
    <row r="6" spans="1:5">
      <c r="A6" s="36" t="s">
        <v>65</v>
      </c>
      <c r="B6" s="38">
        <v>2</v>
      </c>
      <c r="C6" s="38" t="s">
        <v>129</v>
      </c>
      <c r="D6" s="38">
        <v>10</v>
      </c>
      <c r="E6" s="36" t="s">
        <v>139</v>
      </c>
    </row>
    <row r="7" spans="1:5">
      <c r="A7" s="36" t="s">
        <v>65</v>
      </c>
      <c r="B7" s="38">
        <v>3</v>
      </c>
      <c r="C7" s="38" t="s">
        <v>130</v>
      </c>
      <c r="D7" s="38">
        <v>10</v>
      </c>
      <c r="E7" s="36" t="s">
        <v>140</v>
      </c>
    </row>
    <row r="8" spans="1:5">
      <c r="A8" s="36" t="s">
        <v>85</v>
      </c>
      <c r="B8" s="38">
        <v>1</v>
      </c>
      <c r="C8" s="38" t="s">
        <v>137</v>
      </c>
      <c r="D8" s="38">
        <v>10</v>
      </c>
      <c r="E8" s="36" t="s">
        <v>141</v>
      </c>
    </row>
    <row r="9" spans="1:5">
      <c r="A9" s="36" t="s">
        <v>85</v>
      </c>
      <c r="B9" s="38">
        <v>2</v>
      </c>
      <c r="C9" s="38" t="s">
        <v>130</v>
      </c>
      <c r="D9" s="38">
        <v>10</v>
      </c>
      <c r="E9" s="36" t="s">
        <v>142</v>
      </c>
    </row>
    <row r="10" spans="1:5">
      <c r="A10" s="36" t="s">
        <v>85</v>
      </c>
      <c r="B10" s="38">
        <v>3</v>
      </c>
      <c r="C10" s="38" t="s">
        <v>129</v>
      </c>
      <c r="D10" s="38">
        <v>10</v>
      </c>
      <c r="E10" s="36" t="s">
        <v>140</v>
      </c>
    </row>
    <row r="11" spans="1:5">
      <c r="A11" s="36" t="s">
        <v>97</v>
      </c>
      <c r="B11" s="38">
        <v>1</v>
      </c>
      <c r="C11" s="38" t="s">
        <v>129</v>
      </c>
      <c r="D11" s="38">
        <v>20</v>
      </c>
      <c r="E11" s="36" t="s">
        <v>138</v>
      </c>
    </row>
    <row r="12" spans="1:5">
      <c r="A12" s="28" t="s">
        <v>101</v>
      </c>
      <c r="B12" s="42">
        <v>2</v>
      </c>
      <c r="C12" s="42" t="s">
        <v>143</v>
      </c>
      <c r="D12" s="42">
        <v>30</v>
      </c>
      <c r="E12" s="28" t="s">
        <v>144</v>
      </c>
    </row>
    <row r="13" spans="1:5">
      <c r="A13" s="28" t="s">
        <v>106</v>
      </c>
      <c r="B13" s="42">
        <v>1</v>
      </c>
      <c r="C13" s="42" t="s">
        <v>130</v>
      </c>
      <c r="D13" s="42">
        <v>10</v>
      </c>
      <c r="E13" s="28" t="s">
        <v>138</v>
      </c>
    </row>
    <row r="14" spans="1:5">
      <c r="A14" s="28" t="s">
        <v>106</v>
      </c>
      <c r="B14" s="42">
        <v>2</v>
      </c>
      <c r="C14" s="42" t="s">
        <v>129</v>
      </c>
      <c r="D14" s="42">
        <v>10</v>
      </c>
      <c r="E14" s="28" t="s">
        <v>139</v>
      </c>
    </row>
    <row r="15" spans="1:5">
      <c r="A15" s="56" t="s">
        <v>110</v>
      </c>
      <c r="B15" s="57">
        <v>1</v>
      </c>
      <c r="C15" s="57" t="s">
        <v>130</v>
      </c>
      <c r="D15" s="57">
        <v>10</v>
      </c>
      <c r="E15" s="56" t="s">
        <v>138</v>
      </c>
    </row>
    <row r="16" spans="1:5">
      <c r="A16" s="56" t="s">
        <v>110</v>
      </c>
      <c r="B16" s="57">
        <v>2</v>
      </c>
      <c r="C16" s="57" t="s">
        <v>129</v>
      </c>
      <c r="D16" s="57">
        <v>10</v>
      </c>
      <c r="E16" s="56" t="s">
        <v>139</v>
      </c>
    </row>
    <row r="17" spans="1:5">
      <c r="A17" s="28" t="s">
        <v>114</v>
      </c>
      <c r="B17" s="42">
        <v>1</v>
      </c>
      <c r="C17" s="42" t="s">
        <v>137</v>
      </c>
      <c r="D17" s="42">
        <v>10</v>
      </c>
      <c r="E17" s="28" t="s">
        <v>141</v>
      </c>
    </row>
    <row r="18" spans="1:5">
      <c r="A18" s="28" t="s">
        <v>114</v>
      </c>
      <c r="B18" s="42">
        <v>2</v>
      </c>
      <c r="C18" s="42" t="s">
        <v>130</v>
      </c>
      <c r="D18" s="42">
        <v>10</v>
      </c>
      <c r="E18" s="28" t="s">
        <v>142</v>
      </c>
    </row>
    <row r="19" spans="1:5">
      <c r="A19" s="28" t="s">
        <v>114</v>
      </c>
      <c r="B19" s="42">
        <v>3</v>
      </c>
      <c r="C19" s="42" t="s">
        <v>129</v>
      </c>
      <c r="D19" s="42">
        <v>10</v>
      </c>
      <c r="E19" s="28" t="s">
        <v>140</v>
      </c>
    </row>
    <row r="20" spans="1:5">
      <c r="A20" s="28"/>
      <c r="B20" s="42"/>
      <c r="C20" s="42"/>
      <c r="D20" s="42"/>
      <c r="E20" s="28"/>
    </row>
    <row r="21" spans="1:5">
      <c r="A21" s="28"/>
      <c r="B21" s="42"/>
      <c r="C21" s="42"/>
      <c r="D21" s="42"/>
      <c r="E21" s="28"/>
    </row>
    <row r="22" spans="1:5">
      <c r="A22" s="28"/>
      <c r="B22" s="42"/>
      <c r="C22" s="42"/>
      <c r="D22" s="42"/>
      <c r="E22" s="28"/>
    </row>
    <row r="23" spans="1:5">
      <c r="A23" s="28"/>
      <c r="B23" s="42"/>
      <c r="C23" s="42"/>
      <c r="D23" s="42"/>
      <c r="E23" s="28"/>
    </row>
    <row r="24" spans="1:5">
      <c r="A24" s="28"/>
      <c r="B24" s="42"/>
      <c r="C24" s="42"/>
      <c r="D24" s="42"/>
      <c r="E24" s="28"/>
    </row>
  </sheetData>
  <mergeCells count="2">
    <mergeCell ref="A1:E1"/>
    <mergeCell ref="A2:E2"/>
  </mergeCells>
  <dataValidations count="2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C5:C24">
      <formula1>"金币,泥土,石头,原木,木板,树苗,蔬菜,鱼,黄金鱼"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showGridLines="0" workbookViewId="0">
      <selection activeCell="A1" sqref="A1:E1"/>
    </sheetView>
  </sheetViews>
  <sheetFormatPr defaultColWidth="9" defaultRowHeight="14.25" outlineLevelCol="4"/>
  <cols>
    <col min="1" max="1" width="28" style="25" customWidth="1"/>
    <col min="2" max="2" width="9" style="25" customWidth="1"/>
    <col min="3" max="3" width="10" style="25" customWidth="1"/>
    <col min="4" max="4" width="34" style="25" customWidth="1"/>
    <col min="5" max="5" width="42" style="25" customWidth="1"/>
  </cols>
  <sheetData>
    <row r="1" s="25" customFormat="1" ht="30" customHeight="1" spans="1:5">
      <c r="A1" s="26" t="s">
        <v>145</v>
      </c>
    </row>
    <row r="2" s="25" customFormat="1" ht="38" customHeight="1" spans="1:5">
      <c r="A2" s="27" t="s">
        <v>146</v>
      </c>
    </row>
    <row r="3" spans="1:5">
      <c r="A3" s="28"/>
      <c r="B3" s="28"/>
      <c r="C3" s="28"/>
      <c r="D3" s="28"/>
      <c r="E3" s="28"/>
    </row>
    <row r="4" s="25" customFormat="1" ht="30" customHeight="1" spans="1:5">
      <c r="A4" s="29" t="s">
        <v>35</v>
      </c>
      <c r="B4" s="30" t="s">
        <v>147</v>
      </c>
      <c r="C4" s="30" t="s">
        <v>148</v>
      </c>
      <c r="D4" s="30" t="s">
        <v>149</v>
      </c>
      <c r="E4" s="31" t="s">
        <v>53</v>
      </c>
    </row>
    <row r="5" spans="1:5">
      <c r="A5" s="32" t="s">
        <v>56</v>
      </c>
      <c r="B5" s="34">
        <v>1</v>
      </c>
      <c r="C5" s="32" t="s">
        <v>61</v>
      </c>
      <c r="D5" s="32" t="s">
        <v>64</v>
      </c>
      <c r="E5" s="32" t="s">
        <v>150</v>
      </c>
    </row>
    <row r="6" spans="1:5">
      <c r="A6" s="36" t="s">
        <v>56</v>
      </c>
      <c r="B6" s="38">
        <v>2</v>
      </c>
      <c r="C6" s="36" t="s">
        <v>59</v>
      </c>
      <c r="D6" s="36" t="s">
        <v>64</v>
      </c>
      <c r="E6" s="36" t="s">
        <v>151</v>
      </c>
    </row>
    <row r="7" spans="1:5">
      <c r="A7" s="36" t="s">
        <v>56</v>
      </c>
      <c r="B7" s="38">
        <v>3</v>
      </c>
      <c r="C7" s="36" t="s">
        <v>59</v>
      </c>
      <c r="D7" s="36" t="s">
        <v>64</v>
      </c>
      <c r="E7" s="36" t="s">
        <v>151</v>
      </c>
    </row>
    <row r="8" spans="1:5">
      <c r="A8" s="36" t="s">
        <v>56</v>
      </c>
      <c r="B8" s="38">
        <v>4</v>
      </c>
      <c r="C8" s="36" t="s">
        <v>59</v>
      </c>
      <c r="D8" s="36" t="s">
        <v>64</v>
      </c>
      <c r="E8" s="36" t="s">
        <v>151</v>
      </c>
    </row>
    <row r="9" spans="1:5">
      <c r="A9" s="36" t="s">
        <v>65</v>
      </c>
      <c r="B9" s="38">
        <v>1</v>
      </c>
      <c r="C9" s="36" t="s">
        <v>61</v>
      </c>
      <c r="D9" s="36" t="s">
        <v>64</v>
      </c>
      <c r="E9" s="36" t="s">
        <v>150</v>
      </c>
    </row>
    <row r="10" spans="1:5">
      <c r="A10" s="36" t="s">
        <v>65</v>
      </c>
      <c r="B10" s="38">
        <v>2</v>
      </c>
      <c r="C10" s="36" t="s">
        <v>59</v>
      </c>
      <c r="D10" s="36" t="s">
        <v>64</v>
      </c>
      <c r="E10" s="36" t="s">
        <v>152</v>
      </c>
    </row>
    <row r="11" spans="1:5">
      <c r="A11" s="36" t="s">
        <v>65</v>
      </c>
      <c r="B11" s="38">
        <v>3</v>
      </c>
      <c r="C11" s="36" t="s">
        <v>59</v>
      </c>
      <c r="D11" s="36" t="s">
        <v>64</v>
      </c>
      <c r="E11" s="36" t="s">
        <v>152</v>
      </c>
    </row>
    <row r="12" spans="1:5">
      <c r="A12" s="36" t="s">
        <v>65</v>
      </c>
      <c r="B12" s="38">
        <v>4</v>
      </c>
      <c r="C12" s="36" t="s">
        <v>59</v>
      </c>
      <c r="D12" s="36" t="s">
        <v>64</v>
      </c>
      <c r="E12" s="36" t="s">
        <v>152</v>
      </c>
    </row>
    <row r="13" spans="1:5">
      <c r="A13" s="36" t="s">
        <v>69</v>
      </c>
      <c r="B13" s="38">
        <v>1</v>
      </c>
      <c r="C13" s="36" t="s">
        <v>61</v>
      </c>
      <c r="D13" s="36" t="s">
        <v>64</v>
      </c>
      <c r="E13" s="36" t="s">
        <v>150</v>
      </c>
    </row>
    <row r="14" spans="1:5">
      <c r="A14" s="36" t="s">
        <v>69</v>
      </c>
      <c r="B14" s="38">
        <v>2</v>
      </c>
      <c r="C14" s="36" t="s">
        <v>61</v>
      </c>
      <c r="D14" s="36" t="s">
        <v>73</v>
      </c>
      <c r="E14" s="36" t="s">
        <v>153</v>
      </c>
    </row>
    <row r="15" spans="1:5">
      <c r="A15" s="36" t="s">
        <v>74</v>
      </c>
      <c r="B15" s="38">
        <v>1</v>
      </c>
      <c r="C15" s="36" t="s">
        <v>61</v>
      </c>
      <c r="D15" s="36" t="s">
        <v>64</v>
      </c>
      <c r="E15" s="36" t="s">
        <v>150</v>
      </c>
    </row>
    <row r="16" spans="1:5">
      <c r="A16" s="36" t="s">
        <v>74</v>
      </c>
      <c r="B16" s="38">
        <v>2</v>
      </c>
      <c r="C16" s="36" t="s">
        <v>59</v>
      </c>
      <c r="D16" s="36" t="s">
        <v>64</v>
      </c>
      <c r="E16" s="36" t="s">
        <v>152</v>
      </c>
    </row>
    <row r="17" spans="1:5">
      <c r="A17" s="36" t="s">
        <v>78</v>
      </c>
      <c r="B17" s="38">
        <v>1</v>
      </c>
      <c r="C17" s="36" t="s">
        <v>61</v>
      </c>
      <c r="D17" s="36" t="s">
        <v>64</v>
      </c>
      <c r="E17" s="36" t="s">
        <v>150</v>
      </c>
    </row>
    <row r="18" spans="1:5">
      <c r="A18" s="36" t="s">
        <v>81</v>
      </c>
      <c r="B18" s="38">
        <v>1</v>
      </c>
      <c r="C18" s="36" t="s">
        <v>61</v>
      </c>
      <c r="D18" s="36" t="s">
        <v>64</v>
      </c>
      <c r="E18" s="36" t="s">
        <v>150</v>
      </c>
    </row>
    <row r="19" spans="1:5">
      <c r="A19" s="36" t="s">
        <v>85</v>
      </c>
      <c r="B19" s="38">
        <v>1</v>
      </c>
      <c r="C19" s="36" t="s">
        <v>61</v>
      </c>
      <c r="D19" s="36" t="s">
        <v>64</v>
      </c>
      <c r="E19" s="36" t="s">
        <v>154</v>
      </c>
    </row>
    <row r="20" spans="1:5">
      <c r="A20" s="36" t="s">
        <v>85</v>
      </c>
      <c r="B20" s="38">
        <v>2</v>
      </c>
      <c r="C20" s="36" t="s">
        <v>61</v>
      </c>
      <c r="D20" s="36" t="s">
        <v>155</v>
      </c>
      <c r="E20" s="36" t="s">
        <v>156</v>
      </c>
    </row>
    <row r="21" spans="1:5">
      <c r="A21" s="36" t="s">
        <v>85</v>
      </c>
      <c r="B21" s="38">
        <v>3</v>
      </c>
      <c r="C21" s="36" t="s">
        <v>61</v>
      </c>
      <c r="D21" s="36" t="s">
        <v>157</v>
      </c>
      <c r="E21" s="36" t="s">
        <v>158</v>
      </c>
    </row>
    <row r="22" spans="1:5">
      <c r="A22" s="36" t="s">
        <v>89</v>
      </c>
      <c r="B22" s="38">
        <v>1</v>
      </c>
      <c r="C22" s="36" t="s">
        <v>61</v>
      </c>
      <c r="D22" s="36" t="s">
        <v>64</v>
      </c>
      <c r="E22" s="36" t="s">
        <v>150</v>
      </c>
    </row>
    <row r="23" spans="1:5">
      <c r="A23" s="36" t="s">
        <v>93</v>
      </c>
      <c r="B23" s="38">
        <v>1</v>
      </c>
      <c r="C23" s="36" t="s">
        <v>61</v>
      </c>
      <c r="D23" s="36" t="s">
        <v>64</v>
      </c>
      <c r="E23" s="36" t="s">
        <v>150</v>
      </c>
    </row>
    <row r="24" spans="1:5">
      <c r="A24" s="36" t="s">
        <v>97</v>
      </c>
      <c r="B24" s="38">
        <v>1</v>
      </c>
      <c r="C24" s="36" t="s">
        <v>61</v>
      </c>
      <c r="D24" s="36" t="s">
        <v>64</v>
      </c>
      <c r="E24" s="36" t="s">
        <v>159</v>
      </c>
    </row>
    <row r="25" spans="1:5">
      <c r="A25" t="s">
        <v>101</v>
      </c>
      <c r="B25">
        <v>1</v>
      </c>
      <c r="C25" t="s">
        <v>61</v>
      </c>
      <c r="D25" t="s">
        <v>64</v>
      </c>
      <c r="E25" t="s">
        <v>150</v>
      </c>
    </row>
    <row r="26" spans="1:5">
      <c r="A26" t="s">
        <v>101</v>
      </c>
      <c r="B26">
        <v>2</v>
      </c>
      <c r="C26" t="s">
        <v>61</v>
      </c>
      <c r="D26" t="s">
        <v>160</v>
      </c>
      <c r="E26" t="s">
        <v>161</v>
      </c>
    </row>
    <row r="27" spans="1:5">
      <c r="A27" t="s">
        <v>101</v>
      </c>
      <c r="B27">
        <v>3</v>
      </c>
      <c r="C27" t="s">
        <v>61</v>
      </c>
      <c r="D27" t="s">
        <v>162</v>
      </c>
      <c r="E27" t="s">
        <v>163</v>
      </c>
    </row>
    <row r="28" spans="1:5">
      <c r="A28" t="s">
        <v>106</v>
      </c>
      <c r="B28">
        <v>1</v>
      </c>
      <c r="C28" t="s">
        <v>61</v>
      </c>
      <c r="D28" t="s">
        <v>64</v>
      </c>
      <c r="E28" t="s">
        <v>164</v>
      </c>
    </row>
    <row r="29" spans="1:5">
      <c r="A29" t="s">
        <v>106</v>
      </c>
      <c r="B29">
        <v>2</v>
      </c>
      <c r="C29" t="s">
        <v>61</v>
      </c>
      <c r="D29" t="s">
        <v>165</v>
      </c>
      <c r="E29" t="s">
        <v>166</v>
      </c>
    </row>
    <row r="30" spans="1:5">
      <c r="A30" t="s">
        <v>106</v>
      </c>
      <c r="B30">
        <v>3</v>
      </c>
      <c r="C30" t="s">
        <v>61</v>
      </c>
      <c r="D30" t="s">
        <v>167</v>
      </c>
      <c r="E30" t="s">
        <v>168</v>
      </c>
    </row>
    <row r="31" ht="27.75" spans="1:5">
      <c r="A31" s="20" t="s">
        <v>110</v>
      </c>
      <c r="B31" s="20">
        <v>1</v>
      </c>
      <c r="C31" s="20" t="s">
        <v>61</v>
      </c>
      <c r="D31" s="20" t="s">
        <v>64</v>
      </c>
      <c r="E31" s="20" t="s">
        <v>164</v>
      </c>
    </row>
    <row r="32" ht="28.5" spans="1:5">
      <c r="A32" s="20" t="s">
        <v>110</v>
      </c>
      <c r="B32" s="20">
        <v>2</v>
      </c>
      <c r="C32" s="20" t="s">
        <v>61</v>
      </c>
      <c r="D32" s="20" t="s">
        <v>169</v>
      </c>
      <c r="E32" s="20" t="s">
        <v>170</v>
      </c>
    </row>
    <row r="33" spans="1:5">
      <c r="A33" s="20" t="s">
        <v>110</v>
      </c>
      <c r="B33" s="20">
        <v>3</v>
      </c>
      <c r="C33" s="20" t="s">
        <v>61</v>
      </c>
      <c r="D33" s="20" t="s">
        <v>171</v>
      </c>
      <c r="E33" s="20" t="s">
        <v>172</v>
      </c>
    </row>
    <row r="34" spans="1:5">
      <c r="A34" t="s">
        <v>114</v>
      </c>
      <c r="B34">
        <v>1</v>
      </c>
      <c r="C34" t="s">
        <v>61</v>
      </c>
      <c r="D34" t="s">
        <v>64</v>
      </c>
      <c r="E34" t="s">
        <v>173</v>
      </c>
    </row>
    <row r="35" spans="1:5">
      <c r="A35" t="s">
        <v>114</v>
      </c>
      <c r="B35">
        <v>2</v>
      </c>
      <c r="C35" t="s">
        <v>61</v>
      </c>
      <c r="D35" t="s">
        <v>64</v>
      </c>
      <c r="E35" t="s">
        <v>174</v>
      </c>
    </row>
    <row r="36" spans="1:5">
      <c r="A36" t="s">
        <v>114</v>
      </c>
      <c r="B36">
        <v>3</v>
      </c>
      <c r="C36" t="s">
        <v>61</v>
      </c>
      <c r="D36" t="s">
        <v>64</v>
      </c>
      <c r="E36" t="s">
        <v>175</v>
      </c>
    </row>
    <row r="37" spans="1:5">
      <c r="A37" t="s">
        <v>118</v>
      </c>
      <c r="B37">
        <v>1</v>
      </c>
      <c r="C37" t="s">
        <v>61</v>
      </c>
      <c r="D37" t="s">
        <v>64</v>
      </c>
      <c r="E37" t="s">
        <v>176</v>
      </c>
    </row>
    <row r="38" spans="1:5">
      <c r="A38" t="s">
        <v>121</v>
      </c>
      <c r="B38">
        <v>1</v>
      </c>
      <c r="C38" t="s">
        <v>61</v>
      </c>
      <c r="D38" t="s">
        <v>64</v>
      </c>
      <c r="E38" t="s">
        <v>176</v>
      </c>
    </row>
  </sheetData>
  <mergeCells count="2">
    <mergeCell ref="A1:E1"/>
    <mergeCell ref="A2:E2"/>
  </mergeCells>
  <dataValidations count="2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C5:C2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showGridLines="0" workbookViewId="0">
      <selection activeCell="A1" sqref="A1:E1"/>
    </sheetView>
  </sheetViews>
  <sheetFormatPr defaultColWidth="9" defaultRowHeight="14.25" outlineLevelCol="4"/>
  <cols>
    <col min="1" max="1" width="28" style="25" customWidth="1"/>
    <col min="2" max="2" width="12" style="25" customWidth="1"/>
    <col min="3" max="3" width="16" style="25" customWidth="1"/>
    <col min="4" max="4" width="10" style="25" customWidth="1"/>
    <col min="5" max="5" width="46" style="25" customWidth="1"/>
  </cols>
  <sheetData>
    <row r="1" s="25" customFormat="1" ht="30" customHeight="1" spans="1:5">
      <c r="A1" s="26" t="s">
        <v>177</v>
      </c>
    </row>
    <row r="2" s="25" customFormat="1" ht="38" customHeight="1" spans="1:5">
      <c r="A2" s="27" t="s">
        <v>178</v>
      </c>
    </row>
    <row r="3" spans="1:5">
      <c r="A3" s="28"/>
      <c r="B3" s="28"/>
      <c r="C3" s="28"/>
      <c r="D3" s="28"/>
      <c r="E3" s="28"/>
    </row>
    <row r="4" s="25" customFormat="1" ht="30" customHeight="1" spans="1:5">
      <c r="A4" s="29" t="s">
        <v>35</v>
      </c>
      <c r="B4" s="30" t="s">
        <v>179</v>
      </c>
      <c r="C4" s="30" t="s">
        <v>16</v>
      </c>
      <c r="D4" s="30" t="s">
        <v>126</v>
      </c>
      <c r="E4" s="31" t="s">
        <v>53</v>
      </c>
    </row>
    <row r="5" spans="1:5">
      <c r="A5" s="32" t="s">
        <v>69</v>
      </c>
      <c r="B5" s="34">
        <v>2</v>
      </c>
      <c r="C5" s="34" t="s">
        <v>127</v>
      </c>
      <c r="D5" s="34">
        <v>30</v>
      </c>
      <c r="E5" s="32" t="s">
        <v>180</v>
      </c>
    </row>
    <row r="6" spans="1:5">
      <c r="A6" s="28" t="s">
        <v>106</v>
      </c>
      <c r="B6" s="42">
        <v>2</v>
      </c>
      <c r="C6" s="42" t="s">
        <v>127</v>
      </c>
      <c r="D6" s="42">
        <v>300</v>
      </c>
      <c r="E6" s="28" t="s">
        <v>181</v>
      </c>
    </row>
    <row r="7" spans="1:5">
      <c r="A7" s="28" t="s">
        <v>106</v>
      </c>
      <c r="B7" s="42">
        <v>3</v>
      </c>
      <c r="C7" s="42" t="s">
        <v>127</v>
      </c>
      <c r="D7" s="42">
        <v>1000</v>
      </c>
      <c r="E7" s="28" t="s">
        <v>182</v>
      </c>
    </row>
    <row r="8" spans="1:5">
      <c r="A8" s="56" t="s">
        <v>110</v>
      </c>
      <c r="B8" s="57">
        <v>2</v>
      </c>
      <c r="C8" s="57" t="s">
        <v>127</v>
      </c>
      <c r="D8" s="57">
        <v>300</v>
      </c>
      <c r="E8" s="56" t="s">
        <v>183</v>
      </c>
    </row>
    <row r="9" spans="1:5">
      <c r="A9" s="56" t="s">
        <v>110</v>
      </c>
      <c r="B9" s="57">
        <v>3</v>
      </c>
      <c r="C9" s="57" t="s">
        <v>127</v>
      </c>
      <c r="D9" s="57">
        <v>1000</v>
      </c>
      <c r="E9" s="56" t="s">
        <v>184</v>
      </c>
    </row>
    <row r="10" spans="1:5">
      <c r="A10" s="28"/>
      <c r="B10" s="42"/>
      <c r="C10" s="42"/>
      <c r="D10" s="42"/>
      <c r="E10" s="28"/>
    </row>
    <row r="11" spans="1:5">
      <c r="A11" s="28"/>
      <c r="B11" s="42"/>
      <c r="C11" s="42"/>
      <c r="D11" s="42"/>
      <c r="E11" s="28"/>
    </row>
    <row r="12" spans="1:5">
      <c r="A12" s="28"/>
      <c r="B12" s="42"/>
      <c r="C12" s="42"/>
      <c r="D12" s="42"/>
      <c r="E12" s="28"/>
    </row>
    <row r="13" spans="1:5">
      <c r="A13" s="28"/>
      <c r="B13" s="42"/>
      <c r="C13" s="42"/>
      <c r="D13" s="42"/>
      <c r="E13" s="28"/>
    </row>
    <row r="14" spans="1:5">
      <c r="A14" s="28"/>
      <c r="B14" s="42"/>
      <c r="C14" s="42"/>
      <c r="D14" s="42"/>
      <c r="E14" s="28"/>
    </row>
    <row r="15" spans="1:5">
      <c r="A15" s="28"/>
      <c r="B15" s="42"/>
      <c r="C15" s="42"/>
      <c r="D15" s="42"/>
      <c r="E15" s="28"/>
    </row>
    <row r="16" spans="1:5">
      <c r="A16" s="28"/>
      <c r="B16" s="42"/>
      <c r="C16" s="42"/>
      <c r="D16" s="42"/>
      <c r="E16" s="28"/>
    </row>
    <row r="17" spans="1:5">
      <c r="A17" s="28"/>
      <c r="B17" s="42"/>
      <c r="C17" s="42"/>
      <c r="D17" s="42"/>
      <c r="E17" s="28"/>
    </row>
    <row r="18" spans="1:5">
      <c r="A18" s="28"/>
      <c r="B18" s="42"/>
      <c r="C18" s="42"/>
      <c r="D18" s="42"/>
      <c r="E18" s="28"/>
    </row>
    <row r="19" spans="1:5">
      <c r="A19" s="28"/>
      <c r="B19" s="42"/>
      <c r="C19" s="42"/>
      <c r="D19" s="42"/>
      <c r="E19" s="28"/>
    </row>
    <row r="20" spans="1:5">
      <c r="A20" s="28"/>
      <c r="B20" s="42"/>
      <c r="C20" s="42"/>
      <c r="D20" s="42"/>
      <c r="E20" s="28"/>
    </row>
    <row r="21" spans="1:5">
      <c r="A21" s="28"/>
      <c r="B21" s="42"/>
      <c r="C21" s="42"/>
      <c r="D21" s="42"/>
      <c r="E21" s="28"/>
    </row>
    <row r="22" spans="1:5">
      <c r="A22" s="28"/>
      <c r="B22" s="42"/>
      <c r="C22" s="42"/>
      <c r="D22" s="42"/>
      <c r="E22" s="28"/>
    </row>
    <row r="23" spans="1:5">
      <c r="A23" s="28"/>
      <c r="B23" s="42"/>
      <c r="C23" s="42"/>
      <c r="D23" s="42"/>
      <c r="E23" s="28"/>
    </row>
    <row r="24" spans="1:5">
      <c r="A24" s="28"/>
      <c r="B24" s="42"/>
      <c r="C24" s="42"/>
      <c r="D24" s="42"/>
      <c r="E24" s="28"/>
    </row>
  </sheetData>
  <mergeCells count="2">
    <mergeCell ref="A1:E1"/>
    <mergeCell ref="A2:E2"/>
  </mergeCells>
  <dataValidations count="2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C5:C24">
      <formula1>"金币,泥土,石头,原木,木板,树苗,蔬菜,鱼,黄金鱼"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showGridLines="0" workbookViewId="0">
      <selection activeCell="A1" sqref="A1:D1"/>
    </sheetView>
  </sheetViews>
  <sheetFormatPr defaultColWidth="9" defaultRowHeight="14.25" outlineLevelCol="3"/>
  <cols>
    <col min="1" max="1" width="28" style="25" customWidth="1"/>
    <col min="2" max="2" width="9" style="25" customWidth="1"/>
    <col min="3" max="3" width="16" style="25" customWidth="1"/>
    <col min="4" max="4" width="18" style="25" customWidth="1"/>
  </cols>
  <sheetData>
    <row r="1" s="25" customFormat="1" ht="30" customHeight="1" spans="1:4">
      <c r="A1" s="26" t="s">
        <v>185</v>
      </c>
    </row>
    <row r="2" s="25" customFormat="1" ht="38" customHeight="1" spans="1:4">
      <c r="A2" s="27" t="s">
        <v>186</v>
      </c>
    </row>
    <row r="3" spans="1:4">
      <c r="A3" s="28"/>
      <c r="B3" s="28"/>
      <c r="C3" s="28"/>
      <c r="D3" s="28"/>
    </row>
    <row r="4" s="25" customFormat="1" ht="30" customHeight="1" spans="1:4">
      <c r="A4" s="29" t="s">
        <v>35</v>
      </c>
      <c r="B4" s="30" t="s">
        <v>147</v>
      </c>
      <c r="C4" s="30" t="s">
        <v>187</v>
      </c>
      <c r="D4" s="31" t="s">
        <v>188</v>
      </c>
    </row>
    <row r="5" spans="1:4">
      <c r="A5" s="32" t="s">
        <v>56</v>
      </c>
      <c r="B5" s="34">
        <v>1</v>
      </c>
      <c r="C5" s="34">
        <v>10</v>
      </c>
      <c r="D5" s="35" t="str">
        <f>IF(COUNTIFS(运营等级!$A$5:$A$200,A5,运营等级!$B$5:$B$200,B5)=0,"错误：缺少等级","通过")</f>
        <v>通过</v>
      </c>
    </row>
    <row r="6" spans="1:4">
      <c r="A6" s="36" t="s">
        <v>56</v>
      </c>
      <c r="B6" s="38">
        <v>2</v>
      </c>
      <c r="C6" s="38">
        <v>10</v>
      </c>
      <c r="D6" s="39" t="str">
        <f>IF(COUNTIFS(运营等级!$A$5:$A$200,A6,运营等级!$B$5:$B$200,B6)=0,"错误：缺少等级","通过")</f>
        <v>通过</v>
      </c>
    </row>
    <row r="7" spans="1:4">
      <c r="A7" s="36" t="s">
        <v>56</v>
      </c>
      <c r="B7" s="38">
        <v>3</v>
      </c>
      <c r="C7" s="38">
        <v>10</v>
      </c>
      <c r="D7" s="39" t="str">
        <f>IF(COUNTIFS(运营等级!$A$5:$A$200,A7,运营等级!$B$5:$B$200,B7)=0,"错误：缺少等级","通过")</f>
        <v>通过</v>
      </c>
    </row>
    <row r="8" spans="1:4">
      <c r="A8" s="36" t="s">
        <v>56</v>
      </c>
      <c r="B8" s="38">
        <v>4</v>
      </c>
      <c r="C8" s="38">
        <v>10</v>
      </c>
      <c r="D8" s="39" t="str">
        <f>IF(COUNTIFS(运营等级!$A$5:$A$200,A8,运营等级!$B$5:$B$200,B8)=0,"错误：缺少等级","通过")</f>
        <v>通过</v>
      </c>
    </row>
    <row r="9" spans="1:4">
      <c r="A9" s="28"/>
      <c r="B9" s="42"/>
      <c r="C9" s="42"/>
      <c r="D9" s="28"/>
    </row>
    <row r="10" spans="1:4">
      <c r="A10" s="28"/>
      <c r="B10" s="42"/>
      <c r="C10" s="42"/>
      <c r="D10" s="28"/>
    </row>
    <row r="11" spans="1:4">
      <c r="A11" s="28"/>
      <c r="B11" s="42"/>
      <c r="C11" s="42"/>
      <c r="D11" s="28"/>
    </row>
    <row r="12" spans="1:4">
      <c r="A12" s="28"/>
      <c r="B12" s="42"/>
      <c r="C12" s="42"/>
      <c r="D12" s="28"/>
    </row>
    <row r="13" spans="1:4">
      <c r="A13" s="28"/>
      <c r="B13" s="42"/>
      <c r="C13" s="42"/>
      <c r="D13" s="28"/>
    </row>
    <row r="14" spans="1:4">
      <c r="A14" s="28"/>
      <c r="B14" s="42"/>
      <c r="C14" s="42"/>
      <c r="D14" s="28"/>
    </row>
    <row r="15" spans="1:4">
      <c r="A15" s="28"/>
      <c r="B15" s="42"/>
      <c r="C15" s="42"/>
      <c r="D15" s="28"/>
    </row>
    <row r="16" spans="1:4">
      <c r="A16" s="28"/>
      <c r="B16" s="42"/>
      <c r="C16" s="42"/>
      <c r="D16" s="28"/>
    </row>
    <row r="17" spans="1:4">
      <c r="A17" s="28"/>
      <c r="B17" s="42"/>
      <c r="C17" s="42"/>
      <c r="D17" s="28"/>
    </row>
    <row r="18" spans="1:4">
      <c r="A18" s="28"/>
      <c r="B18" s="42"/>
      <c r="C18" s="42"/>
      <c r="D18" s="28"/>
    </row>
    <row r="19" spans="1:4">
      <c r="A19" s="28"/>
      <c r="B19" s="42"/>
      <c r="C19" s="42"/>
      <c r="D19" s="28"/>
    </row>
    <row r="20" spans="1:4">
      <c r="A20" s="28"/>
      <c r="B20" s="42"/>
      <c r="C20" s="42"/>
      <c r="D20" s="28"/>
    </row>
    <row r="21" spans="1:4">
      <c r="A21" s="28"/>
      <c r="B21" s="42"/>
      <c r="C21" s="42"/>
      <c r="D21" s="28"/>
    </row>
    <row r="22" spans="1:4">
      <c r="A22" s="28"/>
      <c r="B22" s="42"/>
      <c r="C22" s="42"/>
      <c r="D22" s="28"/>
    </row>
    <row r="23" spans="1:4">
      <c r="A23" s="28"/>
      <c r="B23" s="42"/>
      <c r="C23" s="42"/>
      <c r="D23" s="28"/>
    </row>
    <row r="24" spans="1:4">
      <c r="A24" s="28"/>
      <c r="B24" s="42"/>
      <c r="C24" s="42"/>
      <c r="D24" s="28"/>
    </row>
  </sheetData>
  <mergeCells count="2">
    <mergeCell ref="A1:D1"/>
    <mergeCell ref="A2:D2"/>
  </mergeCells>
  <conditionalFormatting sqref="D5:D8">
    <cfRule type="containsText" dxfId="0" priority="1" operator="between" text="通过">
      <formula>NOT(ISERROR(SEARCH("通过",D5)))</formula>
    </cfRule>
    <cfRule type="containsText" dxfId="1" priority="2" operator="between" text="待">
      <formula>NOT(ISERROR(SEARCH("待",D5)))</formula>
    </cfRule>
    <cfRule type="containsText" dxfId="2" priority="3" operator="between" text="错误">
      <formula>NOT(ISERROR(SEARCH("错误",D5)))</formula>
    </cfRule>
  </conditionalFormatting>
  <dataValidations count="1">
    <dataValidation type="list" sqref="A5:A24">
      <formula1>"building.player_home,building.residential_house,building.lumber_cabin,building.fishing_hut,building.farm_field,building.market,building.warehouse,building.road,building.tree"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showGridLines="0" tabSelected="1" workbookViewId="0">
      <selection activeCell="K9" sqref="K9"/>
    </sheetView>
  </sheetViews>
  <sheetFormatPr defaultColWidth="9" defaultRowHeight="14.25" outlineLevelCol="4"/>
  <cols>
    <col min="1" max="1" width="28" style="25" customWidth="1"/>
    <col min="2" max="2" width="9" style="25" customWidth="1"/>
    <col min="3" max="3" width="16" style="25" customWidth="1"/>
    <col min="4" max="4" width="18" style="25" customWidth="1"/>
    <col min="5" max="5" width="22" customWidth="1"/>
  </cols>
  <sheetData>
    <row r="1" s="25" customFormat="1" ht="30" customHeight="1" spans="1:5">
      <c r="A1" s="26" t="s">
        <v>189</v>
      </c>
    </row>
    <row r="2" s="25" customFormat="1" ht="38" customHeight="1" spans="1:5">
      <c r="A2" s="27" t="s">
        <v>190</v>
      </c>
    </row>
    <row r="3" spans="1:5">
      <c r="A3" s="28"/>
      <c r="B3" s="28"/>
      <c r="C3" s="28"/>
      <c r="D3" s="28"/>
    </row>
    <row r="4" s="25" customFormat="1" ht="30" customHeight="1" spans="1:5">
      <c r="A4" s="29" t="s">
        <v>35</v>
      </c>
      <c r="B4" s="30" t="s">
        <v>147</v>
      </c>
      <c r="C4" s="30" t="s">
        <v>191</v>
      </c>
      <c r="D4" s="31" t="s">
        <v>188</v>
      </c>
      <c r="E4" s="49" t="s">
        <v>18</v>
      </c>
    </row>
    <row r="5" spans="1:5">
      <c r="A5" s="32" t="s">
        <v>56</v>
      </c>
      <c r="B5" s="34">
        <v>1</v>
      </c>
      <c r="C5" s="34">
        <v>15</v>
      </c>
      <c r="D5" s="35" t="str">
        <f>IF(COUNTIFS(运营等级!$A$5:$A$200,A5,运营等级!$B$5:$B$200,B5)=0,"错误：缺少等级","通过")</f>
        <v>通过</v>
      </c>
      <c r="E5" s="50" t="s">
        <v>192</v>
      </c>
    </row>
    <row r="6" spans="1:5">
      <c r="A6" s="36" t="s">
        <v>56</v>
      </c>
      <c r="B6" s="38">
        <v>2</v>
      </c>
      <c r="C6" s="38">
        <v>15</v>
      </c>
      <c r="D6" s="39" t="str">
        <f>IF(COUNTIFS(运营等级!$A$5:$A$200,A6,运营等级!$B$5:$B$200,B6)=0,"错误：缺少等级","通过")</f>
        <v>通过</v>
      </c>
      <c r="E6" s="50" t="s">
        <v>193</v>
      </c>
    </row>
    <row r="7" spans="1:5">
      <c r="A7" s="36" t="s">
        <v>56</v>
      </c>
      <c r="B7" s="38">
        <v>3</v>
      </c>
      <c r="C7" s="38">
        <v>15</v>
      </c>
      <c r="D7" s="39" t="str">
        <f>IF(COUNTIFS(运营等级!$A$5:$A$200,A7,运营等级!$B$5:$B$200,B7)=0,"错误：缺少等级","通过")</f>
        <v>通过</v>
      </c>
      <c r="E7" s="50" t="s">
        <v>194</v>
      </c>
    </row>
    <row r="8" spans="1:5">
      <c r="A8" s="36" t="s">
        <v>56</v>
      </c>
      <c r="B8" s="38">
        <v>4</v>
      </c>
      <c r="C8" s="38">
        <v>15</v>
      </c>
      <c r="D8" s="39" t="str">
        <f>IF(COUNTIFS(运营等级!$A$5:$A$200,A8,运营等级!$B$5:$B$200,B8)=0,"错误：缺少等级","通过")</f>
        <v>通过</v>
      </c>
      <c r="E8" s="50" t="s">
        <v>194</v>
      </c>
    </row>
    <row r="9" spans="1:5">
      <c r="A9" s="28"/>
      <c r="B9" s="42"/>
      <c r="C9" s="42"/>
      <c r="D9" s="28"/>
      <c r="E9" s="50"/>
    </row>
    <row r="10" spans="1:5">
      <c r="A10" s="28"/>
      <c r="B10" s="42"/>
      <c r="C10" s="42"/>
      <c r="D10" s="28"/>
      <c r="E10" s="50"/>
    </row>
    <row r="11" spans="1:5">
      <c r="A11" s="28"/>
      <c r="B11" s="42"/>
      <c r="C11" s="42"/>
      <c r="D11" s="28"/>
      <c r="E11" s="50"/>
    </row>
    <row r="12" spans="1:5">
      <c r="A12" s="28"/>
      <c r="B12" s="42"/>
      <c r="C12" s="42"/>
      <c r="D12" s="28"/>
      <c r="E12" s="50"/>
    </row>
    <row r="13" spans="1:5">
      <c r="A13" s="28"/>
      <c r="B13" s="42"/>
      <c r="C13" s="42"/>
      <c r="D13" s="28"/>
      <c r="E13" s="50"/>
    </row>
    <row r="14" spans="1:5">
      <c r="A14" s="28"/>
      <c r="B14" s="42"/>
      <c r="C14" s="42"/>
      <c r="D14" s="28"/>
      <c r="E14" s="50"/>
    </row>
    <row r="15" spans="1:5">
      <c r="A15" s="28"/>
      <c r="B15" s="42"/>
      <c r="C15" s="42"/>
      <c r="D15" s="28"/>
      <c r="E15" s="50"/>
    </row>
    <row r="16" spans="1:5">
      <c r="A16" s="28"/>
      <c r="B16" s="42"/>
      <c r="C16" s="42"/>
      <c r="D16" s="28"/>
      <c r="E16" s="50"/>
    </row>
    <row r="17" spans="1:5">
      <c r="A17" s="28"/>
      <c r="B17" s="42"/>
      <c r="C17" s="42"/>
      <c r="D17" s="28"/>
      <c r="E17" s="50"/>
    </row>
    <row r="18" spans="1:5">
      <c r="A18" s="28"/>
      <c r="B18" s="42"/>
      <c r="C18" s="42"/>
      <c r="D18" s="28"/>
      <c r="E18" s="50"/>
    </row>
    <row r="19" spans="1:5">
      <c r="A19" s="28"/>
      <c r="B19" s="42"/>
      <c r="C19" s="42"/>
      <c r="D19" s="28"/>
      <c r="E19" s="50"/>
    </row>
    <row r="20" spans="1:5">
      <c r="A20" s="28"/>
      <c r="B20" s="42"/>
      <c r="C20" s="42"/>
      <c r="D20" s="28"/>
      <c r="E20" s="50"/>
    </row>
    <row r="21" spans="1:5">
      <c r="A21" s="28"/>
      <c r="B21" s="42"/>
      <c r="C21" s="42"/>
      <c r="D21" s="28"/>
      <c r="E21" s="50"/>
    </row>
    <row r="22" spans="1:5">
      <c r="A22" s="28"/>
      <c r="B22" s="42"/>
      <c r="C22" s="42"/>
      <c r="D22" s="28"/>
      <c r="E22" s="50"/>
    </row>
    <row r="23" spans="1:5">
      <c r="A23" s="28"/>
      <c r="B23" s="42"/>
      <c r="C23" s="42"/>
      <c r="D23" s="28"/>
      <c r="E23" s="50"/>
    </row>
    <row r="24" spans="1:5">
      <c r="A24" s="28"/>
      <c r="B24" s="42"/>
      <c r="C24" s="42"/>
      <c r="D24" s="28"/>
      <c r="E24" s="50"/>
    </row>
  </sheetData>
  <mergeCells count="2">
    <mergeCell ref="A1:D1"/>
    <mergeCell ref="A2:D2"/>
  </mergeCells>
  <conditionalFormatting sqref="D5:D8">
    <cfRule type="containsText" dxfId="0" priority="1" operator="between" text="通过">
      <formula>NOT(ISERROR(SEARCH("通过",D5)))</formula>
    </cfRule>
    <cfRule type="containsText" dxfId="1" priority="2" operator="between" text="待">
      <formula>NOT(ISERROR(SEARCH("待",D5)))</formula>
    </cfRule>
    <cfRule type="containsText" dxfId="2" priority="3" operator="between" text="错误">
      <formula>NOT(ISERROR(SEARCH("错误",D5)))</formula>
    </cfRule>
  </conditionalFormatting>
  <dataValidations count="3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E5:E24">
      <formula1>"Default,Palace,PalaceImproved,PalaceAdvanced,PalaceRoyal,BasicWarehouse,Warehouse,AdvancedWarehouse,ColdStorage,Cellar,Granary,Armory"</formula1>
    </dataValidation>
    <dataValidation type="list" sqref="E25:E204">
      <formula1>"简陋库存,普通库存,高级库存,冻库,粮库"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showGridLines="0" workbookViewId="0">
      <selection activeCell="A1" sqref="A1:D1"/>
    </sheetView>
  </sheetViews>
  <sheetFormatPr defaultColWidth="9" defaultRowHeight="14.25" outlineLevelCol="3"/>
  <cols>
    <col min="1" max="1" width="28" style="25" customWidth="1"/>
    <col min="2" max="2" width="9" style="25" customWidth="1"/>
    <col min="3" max="3" width="16" style="25" customWidth="1"/>
    <col min="4" max="4" width="18" style="25" customWidth="1"/>
  </cols>
  <sheetData>
    <row r="1" s="25" customFormat="1" ht="30" customHeight="1" spans="1:4">
      <c r="A1" s="26" t="s">
        <v>195</v>
      </c>
    </row>
    <row r="2" s="25" customFormat="1" ht="38" customHeight="1" spans="1:4">
      <c r="A2" s="27" t="s">
        <v>196</v>
      </c>
    </row>
    <row r="3" spans="1:4">
      <c r="A3" s="28"/>
      <c r="B3" s="28"/>
      <c r="C3" s="28"/>
      <c r="D3" s="28"/>
    </row>
    <row r="4" s="25" customFormat="1" ht="30" customHeight="1" spans="1:4">
      <c r="A4" s="29" t="s">
        <v>35</v>
      </c>
      <c r="B4" s="30" t="s">
        <v>147</v>
      </c>
      <c r="C4" s="30" t="s">
        <v>197</v>
      </c>
      <c r="D4" s="31" t="s">
        <v>188</v>
      </c>
    </row>
    <row r="5" spans="1:4">
      <c r="A5" s="32" t="s">
        <v>56</v>
      </c>
      <c r="B5" s="34">
        <v>1</v>
      </c>
      <c r="C5" s="34">
        <v>1</v>
      </c>
      <c r="D5" s="35" t="str">
        <f>IF(COUNTIFS(运营等级!$A$5:$A$200,A5,运营等级!$B$5:$B$200,B5)=0,"错误：缺少等级","通过")</f>
        <v>通过</v>
      </c>
    </row>
    <row r="6" spans="1:4">
      <c r="A6" s="36" t="s">
        <v>56</v>
      </c>
      <c r="B6" s="38">
        <v>2</v>
      </c>
      <c r="C6" s="38">
        <v>1</v>
      </c>
      <c r="D6" s="39" t="str">
        <f>IF(COUNTIFS(运营等级!$A$5:$A$200,A6,运营等级!$B$5:$B$200,B6)=0,"错误：缺少等级","通过")</f>
        <v>通过</v>
      </c>
    </row>
    <row r="7" spans="1:4">
      <c r="A7" s="36" t="s">
        <v>56</v>
      </c>
      <c r="B7" s="38">
        <v>3</v>
      </c>
      <c r="C7" s="38">
        <v>1</v>
      </c>
      <c r="D7" s="39" t="str">
        <f>IF(COUNTIFS(运营等级!$A$5:$A$200,A7,运营等级!$B$5:$B$200,B7)=0,"错误：缺少等级","通过")</f>
        <v>通过</v>
      </c>
    </row>
    <row r="8" spans="1:4">
      <c r="A8" s="36" t="s">
        <v>56</v>
      </c>
      <c r="B8" s="38">
        <v>4</v>
      </c>
      <c r="C8" s="38">
        <v>1</v>
      </c>
      <c r="D8" s="39" t="str">
        <f>IF(COUNTIFS(运营等级!$A$5:$A$200,A8,运营等级!$B$5:$B$200,B8)=0,"错误：缺少等级","通过")</f>
        <v>通过</v>
      </c>
    </row>
    <row r="9" spans="1:4">
      <c r="A9" s="28"/>
      <c r="B9" s="42"/>
      <c r="C9" s="42"/>
      <c r="D9" s="28"/>
    </row>
    <row r="10" spans="1:4">
      <c r="A10" s="28"/>
      <c r="B10" s="42"/>
      <c r="C10" s="42"/>
      <c r="D10" s="28"/>
    </row>
    <row r="11" spans="1:4">
      <c r="A11" s="28"/>
      <c r="B11" s="42"/>
      <c r="C11" s="42"/>
      <c r="D11" s="28"/>
    </row>
    <row r="12" spans="1:4">
      <c r="A12" s="28"/>
      <c r="B12" s="42"/>
      <c r="C12" s="42"/>
      <c r="D12" s="28"/>
    </row>
    <row r="13" spans="1:4">
      <c r="A13" s="28"/>
      <c r="B13" s="42"/>
      <c r="C13" s="42"/>
      <c r="D13" s="28"/>
    </row>
    <row r="14" spans="1:4">
      <c r="A14" s="28"/>
      <c r="B14" s="42"/>
      <c r="C14" s="42"/>
      <c r="D14" s="28"/>
    </row>
    <row r="15" spans="1:4">
      <c r="A15" s="28"/>
      <c r="B15" s="42"/>
      <c r="C15" s="42"/>
      <c r="D15" s="28"/>
    </row>
    <row r="16" spans="1:4">
      <c r="A16" s="28"/>
      <c r="B16" s="42"/>
      <c r="C16" s="42"/>
      <c r="D16" s="28"/>
    </row>
    <row r="17" spans="1:4">
      <c r="A17" s="28"/>
      <c r="B17" s="42"/>
      <c r="C17" s="42"/>
      <c r="D17" s="28"/>
    </row>
    <row r="18" spans="1:4">
      <c r="A18" s="28"/>
      <c r="B18" s="42"/>
      <c r="C18" s="42"/>
      <c r="D18" s="28"/>
    </row>
    <row r="19" spans="1:4">
      <c r="A19" s="28"/>
      <c r="B19" s="42"/>
      <c r="C19" s="42"/>
      <c r="D19" s="28"/>
    </row>
    <row r="20" spans="1:4">
      <c r="A20" s="28"/>
      <c r="B20" s="42"/>
      <c r="C20" s="42"/>
      <c r="D20" s="28"/>
    </row>
    <row r="21" spans="1:4">
      <c r="A21" s="28"/>
      <c r="B21" s="42"/>
      <c r="C21" s="42"/>
      <c r="D21" s="28"/>
    </row>
    <row r="22" spans="1:4">
      <c r="A22" s="28"/>
      <c r="B22" s="42"/>
      <c r="C22" s="42"/>
      <c r="D22" s="28"/>
    </row>
    <row r="23" spans="1:4">
      <c r="A23" s="28"/>
      <c r="B23" s="42"/>
      <c r="C23" s="42"/>
      <c r="D23" s="28"/>
    </row>
    <row r="24" spans="1:4">
      <c r="A24" s="28"/>
      <c r="B24" s="42"/>
      <c r="C24" s="42"/>
      <c r="D24" s="28"/>
    </row>
  </sheetData>
  <mergeCells count="2">
    <mergeCell ref="A1:D1"/>
    <mergeCell ref="A2:D2"/>
  </mergeCells>
  <conditionalFormatting sqref="D5:D8">
    <cfRule type="containsText" dxfId="0" priority="1" operator="between" text="通过">
      <formula>NOT(ISERROR(SEARCH("通过",D5)))</formula>
    </cfRule>
    <cfRule type="containsText" dxfId="1" priority="2" operator="between" text="待">
      <formula>NOT(ISERROR(SEARCH("待",D5)))</formula>
    </cfRule>
    <cfRule type="containsText" dxfId="2" priority="3" operator="between" text="错误">
      <formula>NOT(ISERROR(SEARCH("错误",D5)))</formula>
    </cfRule>
  </conditionalFormatting>
  <dataValidations count="1">
    <dataValidation type="list" sqref="A5:A24">
      <formula1>"building.player_home,building.residential_house,building.lumber_cabin,building.fishing_hut,building.farm_field,building.market,building.warehouse,building.road,building.tree"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4"/>
  <sheetViews>
    <sheetView showGridLines="0" workbookViewId="0">
      <selection activeCell="A1" sqref="A1:K1"/>
    </sheetView>
  </sheetViews>
  <sheetFormatPr defaultColWidth="9" defaultRowHeight="14.25"/>
  <cols>
    <col min="1" max="1" width="28" style="25" customWidth="1"/>
    <col min="2" max="2" width="9" style="25" customWidth="1"/>
    <col min="3" max="4" width="11" style="25" customWidth="1"/>
    <col min="5" max="5" width="15" style="25" customWidth="1"/>
    <col min="6" max="6" width="11" style="25" customWidth="1"/>
    <col min="7" max="8" width="15" style="25" customWidth="1"/>
    <col min="9" max="9" width="11" style="25" customWidth="1"/>
    <col min="10" max="11" width="18" style="25" customWidth="1"/>
    <col min="12" max="13" width="22" customWidth="1"/>
    <col min="14" max="16" width="20" customWidth="1"/>
  </cols>
  <sheetData>
    <row r="1" s="25" customFormat="1" ht="30" customHeight="1" spans="1:16">
      <c r="A1" s="26" t="s">
        <v>198</v>
      </c>
    </row>
    <row r="2" s="25" customFormat="1" ht="38" customHeight="1" spans="1:16">
      <c r="A2" s="27" t="s">
        <v>199</v>
      </c>
    </row>
    <row r="3" spans="1:16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</row>
    <row r="4" s="25" customFormat="1" ht="30" customHeight="1" spans="1:16">
      <c r="A4" s="29" t="s">
        <v>35</v>
      </c>
      <c r="B4" s="30" t="s">
        <v>147</v>
      </c>
      <c r="C4" s="30" t="s">
        <v>200</v>
      </c>
      <c r="D4" s="30" t="s">
        <v>201</v>
      </c>
      <c r="E4" s="30" t="s">
        <v>202</v>
      </c>
      <c r="F4" s="30" t="s">
        <v>203</v>
      </c>
      <c r="G4" s="30" t="s">
        <v>204</v>
      </c>
      <c r="H4" s="30" t="s">
        <v>205</v>
      </c>
      <c r="I4" s="30" t="s">
        <v>206</v>
      </c>
      <c r="J4" s="30" t="s">
        <v>207</v>
      </c>
      <c r="K4" s="31" t="s">
        <v>188</v>
      </c>
      <c r="L4" s="49" t="s">
        <v>208</v>
      </c>
      <c r="M4" s="49" t="s">
        <v>209</v>
      </c>
      <c r="N4" s="49" t="s">
        <v>210</v>
      </c>
      <c r="O4" s="49" t="s">
        <v>211</v>
      </c>
      <c r="P4" s="49" t="s">
        <v>212</v>
      </c>
    </row>
    <row r="5" spans="1:16">
      <c r="A5" s="32" t="s">
        <v>65</v>
      </c>
      <c r="B5" s="34">
        <v>1</v>
      </c>
      <c r="C5" s="34">
        <v>2</v>
      </c>
      <c r="D5" s="34">
        <v>5</v>
      </c>
      <c r="E5" s="34" t="s">
        <v>213</v>
      </c>
      <c r="F5" s="34">
        <v>3</v>
      </c>
      <c r="G5" s="34">
        <v>3</v>
      </c>
      <c r="H5" s="34" t="s">
        <v>127</v>
      </c>
      <c r="I5" s="34">
        <v>5</v>
      </c>
      <c r="J5" s="33">
        <f>D5</f>
        <v>5</v>
      </c>
      <c r="K5" s="35" t="str">
        <f>IF(D5&lt;C5,"错误：人口上限","通过")</f>
        <v>通过</v>
      </c>
      <c r="L5" s="50" t="s">
        <v>214</v>
      </c>
      <c r="M5" s="50" t="s">
        <v>215</v>
      </c>
      <c r="N5" s="50">
        <v>2</v>
      </c>
      <c r="O5" s="50">
        <v>10</v>
      </c>
      <c r="P5" s="50">
        <v>80</v>
      </c>
    </row>
    <row r="6" spans="1:16">
      <c r="A6" s="36" t="s">
        <v>65</v>
      </c>
      <c r="B6" s="38">
        <v>2</v>
      </c>
      <c r="C6" s="38">
        <v>2</v>
      </c>
      <c r="D6" s="38">
        <v>5</v>
      </c>
      <c r="E6" s="38" t="s">
        <v>213</v>
      </c>
      <c r="F6" s="38">
        <v>3</v>
      </c>
      <c r="G6" s="38">
        <v>3</v>
      </c>
      <c r="H6" s="38" t="s">
        <v>127</v>
      </c>
      <c r="I6" s="38">
        <v>5</v>
      </c>
      <c r="J6" s="37">
        <f>D6</f>
        <v>5</v>
      </c>
      <c r="K6" s="39" t="str">
        <f>IF(D6&lt;C6,"错误：人口上限","通过")</f>
        <v>通过</v>
      </c>
      <c r="L6" s="50" t="s">
        <v>214</v>
      </c>
      <c r="M6" s="50" t="s">
        <v>215</v>
      </c>
      <c r="N6" s="50">
        <v>2</v>
      </c>
      <c r="O6" s="50">
        <v>10</v>
      </c>
      <c r="P6" s="50">
        <v>80</v>
      </c>
    </row>
    <row r="7" spans="1:16">
      <c r="A7" s="36" t="s">
        <v>65</v>
      </c>
      <c r="B7" s="38">
        <v>3</v>
      </c>
      <c r="C7" s="38">
        <v>2</v>
      </c>
      <c r="D7" s="38">
        <v>5</v>
      </c>
      <c r="E7" s="38" t="s">
        <v>213</v>
      </c>
      <c r="F7" s="38">
        <v>3</v>
      </c>
      <c r="G7" s="38">
        <v>3</v>
      </c>
      <c r="H7" s="38" t="s">
        <v>127</v>
      </c>
      <c r="I7" s="38">
        <v>5</v>
      </c>
      <c r="J7" s="37">
        <f>D7</f>
        <v>5</v>
      </c>
      <c r="K7" s="39" t="str">
        <f>IF(D7&lt;C7,"错误：人口上限","通过")</f>
        <v>通过</v>
      </c>
      <c r="L7" s="50" t="s">
        <v>214</v>
      </c>
      <c r="M7" s="50" t="s">
        <v>215</v>
      </c>
      <c r="N7" s="50">
        <v>2</v>
      </c>
      <c r="O7" s="50">
        <v>10</v>
      </c>
      <c r="P7" s="50">
        <v>80</v>
      </c>
    </row>
    <row r="8" spans="1:16">
      <c r="A8" s="36" t="s">
        <v>65</v>
      </c>
      <c r="B8" s="38">
        <v>4</v>
      </c>
      <c r="C8" s="38">
        <v>2</v>
      </c>
      <c r="D8" s="38">
        <v>5</v>
      </c>
      <c r="E8" s="38" t="s">
        <v>213</v>
      </c>
      <c r="F8" s="38">
        <v>3</v>
      </c>
      <c r="G8" s="38">
        <v>3</v>
      </c>
      <c r="H8" s="38" t="s">
        <v>127</v>
      </c>
      <c r="I8" s="38">
        <v>5</v>
      </c>
      <c r="J8" s="37">
        <f>D8</f>
        <v>5</v>
      </c>
      <c r="K8" s="39" t="str">
        <f>IF(D8&lt;C8,"错误：人口上限","通过")</f>
        <v>通过</v>
      </c>
      <c r="L8" s="50" t="s">
        <v>214</v>
      </c>
      <c r="M8" s="50" t="s">
        <v>215</v>
      </c>
      <c r="N8" s="50">
        <v>2</v>
      </c>
      <c r="O8" s="50">
        <v>10</v>
      </c>
      <c r="P8" s="50">
        <v>80</v>
      </c>
    </row>
    <row r="9" spans="1:16">
      <c r="A9" s="28"/>
      <c r="B9" s="42"/>
      <c r="C9" s="42"/>
      <c r="D9" s="42"/>
      <c r="E9" s="42"/>
      <c r="F9" s="42"/>
      <c r="G9" s="42"/>
      <c r="H9" s="42"/>
      <c r="I9" s="42"/>
      <c r="J9" s="42"/>
      <c r="K9" s="28"/>
      <c r="L9" s="50"/>
      <c r="M9" s="50"/>
      <c r="N9" s="50"/>
      <c r="O9" s="50"/>
      <c r="P9" s="50"/>
    </row>
    <row r="10" spans="1:16">
      <c r="A10" s="28"/>
      <c r="B10" s="42"/>
      <c r="C10" s="42"/>
      <c r="D10" s="42"/>
      <c r="E10" s="42"/>
      <c r="F10" s="42"/>
      <c r="G10" s="42"/>
      <c r="H10" s="42"/>
      <c r="I10" s="42"/>
      <c r="J10" s="42"/>
      <c r="K10" s="28"/>
      <c r="L10" s="50"/>
      <c r="M10" s="50"/>
      <c r="N10" s="50"/>
      <c r="O10" s="50"/>
      <c r="P10" s="50"/>
    </row>
    <row r="11" spans="1:16">
      <c r="A11" s="28"/>
      <c r="B11" s="42"/>
      <c r="C11" s="42"/>
      <c r="D11" s="42"/>
      <c r="E11" s="42"/>
      <c r="F11" s="42"/>
      <c r="G11" s="42"/>
      <c r="H11" s="42"/>
      <c r="I11" s="42"/>
      <c r="J11" s="42"/>
      <c r="K11" s="28"/>
      <c r="L11" s="50"/>
      <c r="M11" s="50"/>
      <c r="N11" s="50"/>
      <c r="O11" s="50"/>
      <c r="P11" s="50"/>
    </row>
    <row r="12" spans="1:16">
      <c r="A12" s="28"/>
      <c r="B12" s="42"/>
      <c r="C12" s="42"/>
      <c r="D12" s="42"/>
      <c r="E12" s="42"/>
      <c r="F12" s="42"/>
      <c r="G12" s="42"/>
      <c r="H12" s="42"/>
      <c r="I12" s="42"/>
      <c r="J12" s="42"/>
      <c r="K12" s="28"/>
      <c r="L12" s="50"/>
      <c r="M12" s="50"/>
      <c r="N12" s="50"/>
      <c r="O12" s="50"/>
      <c r="P12" s="50"/>
    </row>
    <row r="13" spans="1:16">
      <c r="A13" s="28"/>
      <c r="B13" s="42"/>
      <c r="C13" s="42"/>
      <c r="D13" s="42"/>
      <c r="E13" s="42"/>
      <c r="F13" s="42"/>
      <c r="G13" s="42"/>
      <c r="H13" s="42"/>
      <c r="I13" s="42"/>
      <c r="J13" s="42"/>
      <c r="K13" s="28"/>
      <c r="L13" s="50"/>
      <c r="M13" s="50"/>
      <c r="N13" s="50"/>
      <c r="O13" s="50"/>
      <c r="P13" s="50"/>
    </row>
    <row r="14" spans="1:16">
      <c r="A14" s="28"/>
      <c r="B14" s="42"/>
      <c r="C14" s="42"/>
      <c r="D14" s="42"/>
      <c r="E14" s="42"/>
      <c r="F14" s="42"/>
      <c r="G14" s="42"/>
      <c r="H14" s="42"/>
      <c r="I14" s="42"/>
      <c r="J14" s="42"/>
      <c r="K14" s="28"/>
      <c r="L14" s="50"/>
      <c r="M14" s="50"/>
      <c r="N14" s="50"/>
      <c r="O14" s="50"/>
      <c r="P14" s="50"/>
    </row>
    <row r="15" spans="1:16">
      <c r="A15" s="28"/>
      <c r="B15" s="42"/>
      <c r="C15" s="42"/>
      <c r="D15" s="42"/>
      <c r="E15" s="42"/>
      <c r="F15" s="42"/>
      <c r="G15" s="42"/>
      <c r="H15" s="42"/>
      <c r="I15" s="42"/>
      <c r="J15" s="42"/>
      <c r="K15" s="28"/>
      <c r="L15" s="50"/>
      <c r="M15" s="50"/>
      <c r="N15" s="50"/>
      <c r="O15" s="50"/>
      <c r="P15" s="50"/>
    </row>
    <row r="16" spans="1:16">
      <c r="A16" s="28"/>
      <c r="B16" s="42"/>
      <c r="C16" s="42"/>
      <c r="D16" s="42"/>
      <c r="E16" s="42"/>
      <c r="F16" s="42"/>
      <c r="G16" s="42"/>
      <c r="H16" s="42"/>
      <c r="I16" s="42"/>
      <c r="J16" s="42"/>
      <c r="K16" s="28"/>
      <c r="L16" s="50"/>
      <c r="M16" s="50"/>
      <c r="N16" s="50"/>
      <c r="O16" s="50"/>
      <c r="P16" s="50"/>
    </row>
    <row r="17" spans="1:16">
      <c r="A17" s="28"/>
      <c r="B17" s="42"/>
      <c r="C17" s="42"/>
      <c r="D17" s="42"/>
      <c r="E17" s="42"/>
      <c r="F17" s="42"/>
      <c r="G17" s="42"/>
      <c r="H17" s="42"/>
      <c r="I17" s="42"/>
      <c r="J17" s="42"/>
      <c r="K17" s="28"/>
      <c r="L17" s="50"/>
      <c r="M17" s="50"/>
      <c r="N17" s="50"/>
      <c r="O17" s="50"/>
      <c r="P17" s="50"/>
    </row>
    <row r="18" spans="1:16">
      <c r="A18" s="28"/>
      <c r="B18" s="42"/>
      <c r="C18" s="42"/>
      <c r="D18" s="42"/>
      <c r="E18" s="42"/>
      <c r="F18" s="42"/>
      <c r="G18" s="42"/>
      <c r="H18" s="42"/>
      <c r="I18" s="42"/>
      <c r="J18" s="42"/>
      <c r="K18" s="28"/>
      <c r="L18" s="50"/>
      <c r="M18" s="50"/>
      <c r="N18" s="50"/>
      <c r="O18" s="50"/>
      <c r="P18" s="50"/>
    </row>
    <row r="19" spans="1:16">
      <c r="A19" s="28"/>
      <c r="B19" s="42"/>
      <c r="C19" s="42"/>
      <c r="D19" s="42"/>
      <c r="E19" s="42"/>
      <c r="F19" s="42"/>
      <c r="G19" s="42"/>
      <c r="H19" s="42"/>
      <c r="I19" s="42"/>
      <c r="J19" s="42"/>
      <c r="K19" s="28"/>
      <c r="L19" s="50"/>
      <c r="M19" s="50"/>
      <c r="N19" s="50"/>
      <c r="O19" s="50"/>
      <c r="P19" s="50"/>
    </row>
    <row r="20" spans="1:16">
      <c r="A20" s="28"/>
      <c r="B20" s="42"/>
      <c r="C20" s="42"/>
      <c r="D20" s="42"/>
      <c r="E20" s="42"/>
      <c r="F20" s="42"/>
      <c r="G20" s="42"/>
      <c r="H20" s="42"/>
      <c r="I20" s="42"/>
      <c r="J20" s="42"/>
      <c r="K20" s="28"/>
      <c r="L20" s="50"/>
      <c r="M20" s="50"/>
      <c r="N20" s="50"/>
      <c r="O20" s="50"/>
      <c r="P20" s="50"/>
    </row>
    <row r="21" spans="1:16">
      <c r="A21" s="28"/>
      <c r="B21" s="42"/>
      <c r="C21" s="42"/>
      <c r="D21" s="42"/>
      <c r="E21" s="42"/>
      <c r="F21" s="42"/>
      <c r="G21" s="42"/>
      <c r="H21" s="42"/>
      <c r="I21" s="42"/>
      <c r="J21" s="42"/>
      <c r="K21" s="28"/>
      <c r="L21" s="50"/>
      <c r="M21" s="50"/>
      <c r="N21" s="50"/>
      <c r="O21" s="50"/>
      <c r="P21" s="50"/>
    </row>
    <row r="22" spans="1:16">
      <c r="A22" s="28"/>
      <c r="B22" s="42"/>
      <c r="C22" s="42"/>
      <c r="D22" s="42"/>
      <c r="E22" s="42"/>
      <c r="F22" s="42"/>
      <c r="G22" s="42"/>
      <c r="H22" s="42"/>
      <c r="I22" s="42"/>
      <c r="J22" s="42"/>
      <c r="K22" s="28"/>
      <c r="L22" s="50"/>
      <c r="M22" s="50"/>
      <c r="N22" s="50"/>
      <c r="O22" s="50"/>
      <c r="P22" s="50"/>
    </row>
    <row r="23" spans="1:16">
      <c r="A23" s="28"/>
      <c r="B23" s="42"/>
      <c r="C23" s="42"/>
      <c r="D23" s="42"/>
      <c r="E23" s="42"/>
      <c r="F23" s="42"/>
      <c r="G23" s="42"/>
      <c r="H23" s="42"/>
      <c r="I23" s="42"/>
      <c r="J23" s="42"/>
      <c r="K23" s="28"/>
      <c r="L23" s="50"/>
      <c r="M23" s="50"/>
      <c r="N23" s="50"/>
      <c r="O23" s="50"/>
      <c r="P23" s="50"/>
    </row>
    <row r="24" spans="1:16">
      <c r="A24" s="28"/>
      <c r="B24" s="42"/>
      <c r="C24" s="42"/>
      <c r="D24" s="42"/>
      <c r="E24" s="42"/>
      <c r="F24" s="42"/>
      <c r="G24" s="42"/>
      <c r="H24" s="42"/>
      <c r="I24" s="42"/>
      <c r="J24" s="42"/>
      <c r="K24" s="28"/>
      <c r="L24" s="50"/>
      <c r="M24" s="50"/>
      <c r="N24" s="50"/>
      <c r="O24" s="50"/>
      <c r="P24" s="50"/>
    </row>
  </sheetData>
  <mergeCells count="2">
    <mergeCell ref="A1:K1"/>
    <mergeCell ref="A2:K2"/>
  </mergeCells>
  <conditionalFormatting sqref="K5:K24">
    <cfRule type="containsText" dxfId="0" priority="1" operator="between" text="通过">
      <formula>NOT(ISERROR(SEARCH("通过",K5)))</formula>
    </cfRule>
    <cfRule type="containsText" dxfId="1" priority="2" operator="between" text="待">
      <formula>NOT(ISERROR(SEARCH("待",K5)))</formula>
    </cfRule>
    <cfRule type="containsText" dxfId="2" priority="3" operator="between" text="错误">
      <formula>NOT(ISERROR(SEARCH("错误",K5)))</formula>
    </cfRule>
  </conditionalFormatting>
  <dataValidations count="3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E5:E24 H5:H24">
      <formula1>"金币,泥土,石头,原木,木板,树苗,蔬菜,鱼,黄金鱼"</formula1>
    </dataValidation>
    <dataValidation type="list" sqref="M5:M24">
      <formula1>"PreferSoonToSpoil,PreferVariety,PreferQuality,PreferLowestValue"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showGridLines="0" workbookViewId="0">
      <selection activeCell="A1" sqref="A1:J1"/>
    </sheetView>
  </sheetViews>
  <sheetFormatPr defaultColWidth="9" defaultRowHeight="14.25"/>
  <cols>
    <col min="1" max="1" width="28" style="25" customWidth="1"/>
    <col min="2" max="2" width="9" style="25" customWidth="1"/>
    <col min="3" max="4" width="11" style="25" customWidth="1"/>
    <col min="5" max="5" width="13" style="25" customWidth="1"/>
    <col min="6" max="7" width="11" style="25" customWidth="1"/>
    <col min="8" max="9" width="15" style="25" customWidth="1"/>
    <col min="10" max="10" width="20" style="25" customWidth="1"/>
  </cols>
  <sheetData>
    <row r="1" s="25" customFormat="1" ht="30" customHeight="1" spans="1:10">
      <c r="A1" s="26" t="s">
        <v>216</v>
      </c>
    </row>
    <row r="2" s="25" customFormat="1" ht="38" customHeight="1" spans="1:10">
      <c r="A2" s="27" t="s">
        <v>217</v>
      </c>
    </row>
    <row r="3" spans="1:10">
      <c r="A3" s="28"/>
      <c r="B3" s="28"/>
      <c r="C3" s="28"/>
      <c r="D3" s="28"/>
      <c r="E3" s="28"/>
      <c r="F3" s="28"/>
      <c r="G3" s="28"/>
      <c r="H3" s="28"/>
      <c r="I3" s="28"/>
      <c r="J3" s="28"/>
    </row>
    <row r="4" s="25" customFormat="1" ht="30" customHeight="1" spans="1:10">
      <c r="A4" s="29" t="s">
        <v>35</v>
      </c>
      <c r="B4" s="30" t="s">
        <v>147</v>
      </c>
      <c r="C4" s="30" t="s">
        <v>218</v>
      </c>
      <c r="D4" s="30" t="s">
        <v>219</v>
      </c>
      <c r="E4" s="30" t="s">
        <v>220</v>
      </c>
      <c r="F4" s="30" t="s">
        <v>221</v>
      </c>
      <c r="G4" s="30" t="s">
        <v>222</v>
      </c>
      <c r="H4" s="30" t="s">
        <v>223</v>
      </c>
      <c r="I4" s="30" t="s">
        <v>224</v>
      </c>
      <c r="J4" s="31" t="s">
        <v>188</v>
      </c>
    </row>
    <row r="5" spans="1:10">
      <c r="A5" s="32" t="s">
        <v>69</v>
      </c>
      <c r="B5" s="34">
        <v>1</v>
      </c>
      <c r="C5" s="34">
        <v>3</v>
      </c>
      <c r="D5" s="34">
        <v>2</v>
      </c>
      <c r="E5" s="34">
        <v>55</v>
      </c>
      <c r="F5" s="34">
        <v>10</v>
      </c>
      <c r="G5" s="32" t="s">
        <v>59</v>
      </c>
      <c r="H5" s="34">
        <v>0</v>
      </c>
      <c r="I5" s="32" t="s">
        <v>127</v>
      </c>
      <c r="J5" s="35" t="str">
        <f t="shared" ref="J5:J25" si="0">IF(OR(D5&gt;C5,H5&gt;C5),"错误：工人超上限","通过")</f>
        <v>通过</v>
      </c>
    </row>
    <row r="6" spans="1:10">
      <c r="A6" s="36" t="s">
        <v>69</v>
      </c>
      <c r="B6" s="38">
        <v>2</v>
      </c>
      <c r="C6" s="38">
        <v>5</v>
      </c>
      <c r="D6" s="38">
        <v>2</v>
      </c>
      <c r="E6" s="38">
        <v>55</v>
      </c>
      <c r="F6" s="38">
        <v>10</v>
      </c>
      <c r="G6" s="36" t="s">
        <v>59</v>
      </c>
      <c r="H6" s="38">
        <v>0</v>
      </c>
      <c r="I6" s="36" t="s">
        <v>127</v>
      </c>
      <c r="J6" s="39" t="str">
        <f t="shared" si="0"/>
        <v>通过</v>
      </c>
    </row>
    <row r="7" spans="1:10">
      <c r="A7" s="36" t="s">
        <v>74</v>
      </c>
      <c r="B7" s="38">
        <v>1</v>
      </c>
      <c r="C7" s="38">
        <v>3</v>
      </c>
      <c r="D7" s="38">
        <v>0</v>
      </c>
      <c r="E7" s="38">
        <v>55</v>
      </c>
      <c r="F7" s="38">
        <v>10</v>
      </c>
      <c r="G7" s="36" t="s">
        <v>59</v>
      </c>
      <c r="H7" s="38">
        <v>0</v>
      </c>
      <c r="I7" s="36" t="s">
        <v>127</v>
      </c>
      <c r="J7" s="39" t="str">
        <f t="shared" si="0"/>
        <v>通过</v>
      </c>
    </row>
    <row r="8" spans="1:10">
      <c r="A8" s="36" t="s">
        <v>74</v>
      </c>
      <c r="B8" s="38">
        <v>2</v>
      </c>
      <c r="C8" s="38">
        <v>3</v>
      </c>
      <c r="D8" s="38">
        <v>0</v>
      </c>
      <c r="E8" s="38">
        <v>55</v>
      </c>
      <c r="F8" s="38">
        <v>10</v>
      </c>
      <c r="G8" s="36" t="s">
        <v>59</v>
      </c>
      <c r="H8" s="38">
        <v>0</v>
      </c>
      <c r="I8" s="36" t="s">
        <v>127</v>
      </c>
      <c r="J8" s="39" t="str">
        <f t="shared" si="0"/>
        <v>通过</v>
      </c>
    </row>
    <row r="9" spans="1:10">
      <c r="A9" s="36" t="s">
        <v>78</v>
      </c>
      <c r="B9" s="38">
        <v>1</v>
      </c>
      <c r="C9" s="38">
        <v>2</v>
      </c>
      <c r="D9" s="38">
        <v>0</v>
      </c>
      <c r="E9" s="38">
        <v>55</v>
      </c>
      <c r="F9" s="38">
        <v>10</v>
      </c>
      <c r="G9" s="36" t="s">
        <v>59</v>
      </c>
      <c r="H9" s="38">
        <v>0</v>
      </c>
      <c r="I9" s="36" t="s">
        <v>127</v>
      </c>
      <c r="J9" s="39" t="str">
        <f t="shared" si="0"/>
        <v>通过</v>
      </c>
    </row>
    <row r="10" spans="1:10">
      <c r="A10" s="36" t="s">
        <v>81</v>
      </c>
      <c r="B10" s="38">
        <v>1</v>
      </c>
      <c r="C10" s="38">
        <v>3</v>
      </c>
      <c r="D10" s="38">
        <v>3</v>
      </c>
      <c r="E10" s="38">
        <v>100</v>
      </c>
      <c r="F10" s="38">
        <v>10</v>
      </c>
      <c r="G10" s="36" t="s">
        <v>61</v>
      </c>
      <c r="H10" s="38">
        <v>3</v>
      </c>
      <c r="I10" s="36" t="s">
        <v>127</v>
      </c>
      <c r="J10" s="39" t="str">
        <f t="shared" si="0"/>
        <v>通过</v>
      </c>
    </row>
    <row r="11" spans="1:10">
      <c r="A11" s="36" t="s">
        <v>85</v>
      </c>
      <c r="B11" s="38">
        <v>1</v>
      </c>
      <c r="C11" s="38">
        <v>2</v>
      </c>
      <c r="D11" s="38">
        <v>0</v>
      </c>
      <c r="E11" s="38">
        <v>55</v>
      </c>
      <c r="F11" s="38">
        <v>10</v>
      </c>
      <c r="G11" s="36" t="s">
        <v>59</v>
      </c>
      <c r="H11" s="38">
        <v>0</v>
      </c>
      <c r="I11" s="36" t="s">
        <v>127</v>
      </c>
      <c r="J11" s="39" t="str">
        <f t="shared" si="0"/>
        <v>通过</v>
      </c>
    </row>
    <row r="12" spans="1:10">
      <c r="A12" s="36" t="s">
        <v>85</v>
      </c>
      <c r="B12" s="38">
        <v>2</v>
      </c>
      <c r="C12" s="38">
        <v>3</v>
      </c>
      <c r="D12" s="38">
        <v>0</v>
      </c>
      <c r="E12" s="38">
        <v>55</v>
      </c>
      <c r="F12" s="38">
        <v>10</v>
      </c>
      <c r="G12" s="36" t="s">
        <v>59</v>
      </c>
      <c r="H12" s="38">
        <v>0</v>
      </c>
      <c r="I12" s="36" t="s">
        <v>127</v>
      </c>
      <c r="J12" s="39" t="str">
        <f t="shared" si="0"/>
        <v>通过</v>
      </c>
    </row>
    <row r="13" spans="1:10">
      <c r="A13" s="36" t="s">
        <v>85</v>
      </c>
      <c r="B13" s="38">
        <v>3</v>
      </c>
      <c r="C13" s="38">
        <v>5</v>
      </c>
      <c r="D13" s="38">
        <v>0</v>
      </c>
      <c r="E13" s="38">
        <v>55</v>
      </c>
      <c r="F13" s="38">
        <v>10</v>
      </c>
      <c r="G13" s="36" t="s">
        <v>59</v>
      </c>
      <c r="H13" s="38">
        <v>0</v>
      </c>
      <c r="I13" s="36" t="s">
        <v>127</v>
      </c>
      <c r="J13" s="39" t="str">
        <f t="shared" si="0"/>
        <v>通过</v>
      </c>
    </row>
    <row r="14" spans="1:10">
      <c r="A14" s="28" t="s">
        <v>101</v>
      </c>
      <c r="B14" s="42">
        <v>1</v>
      </c>
      <c r="C14" s="42">
        <v>6</v>
      </c>
      <c r="D14" s="42">
        <v>0</v>
      </c>
      <c r="E14" s="42">
        <v>55</v>
      </c>
      <c r="F14" s="42">
        <v>10</v>
      </c>
      <c r="G14" s="28" t="s">
        <v>59</v>
      </c>
      <c r="H14" s="42">
        <v>0</v>
      </c>
      <c r="I14" s="28" t="s">
        <v>127</v>
      </c>
      <c r="J14" s="28" t="str">
        <f t="shared" si="0"/>
        <v>通过</v>
      </c>
    </row>
    <row r="15" spans="1:10">
      <c r="A15" s="28" t="s">
        <v>101</v>
      </c>
      <c r="B15" s="42">
        <v>2</v>
      </c>
      <c r="C15" s="42">
        <v>6</v>
      </c>
      <c r="D15" s="42">
        <v>0</v>
      </c>
      <c r="E15" s="42">
        <v>55</v>
      </c>
      <c r="F15" s="42">
        <v>10</v>
      </c>
      <c r="G15" s="28" t="s">
        <v>59</v>
      </c>
      <c r="H15" s="42">
        <v>0</v>
      </c>
      <c r="I15" s="28" t="s">
        <v>127</v>
      </c>
      <c r="J15" s="28" t="str">
        <f t="shared" si="0"/>
        <v>通过</v>
      </c>
    </row>
    <row r="16" spans="1:10">
      <c r="A16" s="28" t="s">
        <v>101</v>
      </c>
      <c r="B16" s="42">
        <v>3</v>
      </c>
      <c r="C16" s="42">
        <v>6</v>
      </c>
      <c r="D16" s="42">
        <v>0</v>
      </c>
      <c r="E16" s="42">
        <v>55</v>
      </c>
      <c r="F16" s="42">
        <v>10</v>
      </c>
      <c r="G16" s="28" t="s">
        <v>59</v>
      </c>
      <c r="H16" s="42">
        <v>0</v>
      </c>
      <c r="I16" s="28" t="s">
        <v>127</v>
      </c>
      <c r="J16" s="28" t="str">
        <f t="shared" si="0"/>
        <v>通过</v>
      </c>
    </row>
    <row r="17" spans="1:10">
      <c r="A17" s="28" t="s">
        <v>106</v>
      </c>
      <c r="B17" s="42">
        <v>1</v>
      </c>
      <c r="C17" s="42">
        <v>4</v>
      </c>
      <c r="D17" s="42">
        <v>0</v>
      </c>
      <c r="E17" s="42">
        <v>55</v>
      </c>
      <c r="F17" s="42">
        <v>10</v>
      </c>
      <c r="G17" s="28" t="s">
        <v>59</v>
      </c>
      <c r="H17" s="42">
        <v>0</v>
      </c>
      <c r="I17" s="28" t="s">
        <v>127</v>
      </c>
      <c r="J17" s="28" t="str">
        <f t="shared" si="0"/>
        <v>通过</v>
      </c>
    </row>
    <row r="18" spans="1:10">
      <c r="A18" s="28" t="s">
        <v>106</v>
      </c>
      <c r="B18" s="42">
        <v>2</v>
      </c>
      <c r="C18" s="42">
        <v>8</v>
      </c>
      <c r="D18" s="42">
        <v>0</v>
      </c>
      <c r="E18" s="42">
        <v>55</v>
      </c>
      <c r="F18" s="42">
        <v>10</v>
      </c>
      <c r="G18" s="28" t="s">
        <v>59</v>
      </c>
      <c r="H18" s="42">
        <v>0</v>
      </c>
      <c r="I18" s="28" t="s">
        <v>127</v>
      </c>
      <c r="J18" s="28" t="str">
        <f t="shared" si="0"/>
        <v>通过</v>
      </c>
    </row>
    <row r="19" spans="1:10">
      <c r="A19" s="28" t="s">
        <v>106</v>
      </c>
      <c r="B19" s="42">
        <v>3</v>
      </c>
      <c r="C19" s="42">
        <v>16</v>
      </c>
      <c r="D19" s="42">
        <v>0</v>
      </c>
      <c r="E19" s="42">
        <v>55</v>
      </c>
      <c r="F19" s="42">
        <v>10</v>
      </c>
      <c r="G19" s="28" t="s">
        <v>59</v>
      </c>
      <c r="H19" s="42">
        <v>0</v>
      </c>
      <c r="I19" s="28" t="s">
        <v>127</v>
      </c>
      <c r="J19" s="28" t="str">
        <f t="shared" si="0"/>
        <v>通过</v>
      </c>
    </row>
    <row r="20" spans="1:10">
      <c r="A20" s="56" t="s">
        <v>110</v>
      </c>
      <c r="B20" s="57">
        <v>1</v>
      </c>
      <c r="C20" s="57">
        <v>4</v>
      </c>
      <c r="D20" s="57">
        <v>0</v>
      </c>
      <c r="E20" s="57">
        <v>55</v>
      </c>
      <c r="F20" s="57">
        <v>10</v>
      </c>
      <c r="G20" s="56" t="s">
        <v>59</v>
      </c>
      <c r="H20" s="57">
        <v>0</v>
      </c>
      <c r="I20" s="56" t="s">
        <v>127</v>
      </c>
      <c r="J20" s="58" t="str">
        <f t="shared" si="0"/>
        <v>通过</v>
      </c>
    </row>
    <row r="21" spans="1:10">
      <c r="A21" s="56" t="s">
        <v>110</v>
      </c>
      <c r="B21" s="57">
        <v>2</v>
      </c>
      <c r="C21" s="57">
        <v>8</v>
      </c>
      <c r="D21" s="57">
        <v>0</v>
      </c>
      <c r="E21" s="57">
        <v>55</v>
      </c>
      <c r="F21" s="57">
        <v>10</v>
      </c>
      <c r="G21" s="56" t="s">
        <v>59</v>
      </c>
      <c r="H21" s="57">
        <v>0</v>
      </c>
      <c r="I21" s="56" t="s">
        <v>127</v>
      </c>
      <c r="J21" s="58" t="str">
        <f t="shared" si="0"/>
        <v>通过</v>
      </c>
    </row>
    <row r="22" spans="1:10">
      <c r="A22" s="56" t="s">
        <v>110</v>
      </c>
      <c r="B22" s="57">
        <v>3</v>
      </c>
      <c r="C22" s="57">
        <v>16</v>
      </c>
      <c r="D22" s="57">
        <v>0</v>
      </c>
      <c r="E22" s="57">
        <v>55</v>
      </c>
      <c r="F22" s="57">
        <v>10</v>
      </c>
      <c r="G22" s="56" t="s">
        <v>59</v>
      </c>
      <c r="H22" s="57">
        <v>0</v>
      </c>
      <c r="I22" s="56" t="s">
        <v>127</v>
      </c>
      <c r="J22" s="58" t="str">
        <f t="shared" si="0"/>
        <v>通过</v>
      </c>
    </row>
    <row r="23" spans="1:10">
      <c r="A23" s="28" t="s">
        <v>114</v>
      </c>
      <c r="B23" s="42">
        <v>1</v>
      </c>
      <c r="C23" s="42">
        <v>2</v>
      </c>
      <c r="D23" s="42">
        <v>0</v>
      </c>
      <c r="E23" s="42">
        <v>55</v>
      </c>
      <c r="F23" s="42">
        <v>10</v>
      </c>
      <c r="G23" s="28" t="s">
        <v>59</v>
      </c>
      <c r="H23" s="42">
        <v>0</v>
      </c>
      <c r="I23" s="28" t="s">
        <v>127</v>
      </c>
      <c r="J23" s="28" t="str">
        <f t="shared" si="0"/>
        <v>通过</v>
      </c>
    </row>
    <row r="24" spans="1:10">
      <c r="A24" s="28" t="s">
        <v>114</v>
      </c>
      <c r="B24" s="42">
        <v>2</v>
      </c>
      <c r="C24" s="42">
        <v>3</v>
      </c>
      <c r="D24" s="42">
        <v>0</v>
      </c>
      <c r="E24" s="42">
        <v>55</v>
      </c>
      <c r="F24" s="42">
        <v>10</v>
      </c>
      <c r="G24" s="28" t="s">
        <v>59</v>
      </c>
      <c r="H24" s="42">
        <v>0</v>
      </c>
      <c r="I24" s="28" t="s">
        <v>127</v>
      </c>
      <c r="J24" s="28" t="str">
        <f t="shared" si="0"/>
        <v>通过</v>
      </c>
    </row>
    <row r="25" spans="1:10">
      <c r="A25" t="s">
        <v>114</v>
      </c>
      <c r="B25">
        <v>3</v>
      </c>
      <c r="C25">
        <v>5</v>
      </c>
      <c r="D25">
        <v>0</v>
      </c>
      <c r="E25">
        <v>55</v>
      </c>
      <c r="F25">
        <v>10</v>
      </c>
      <c r="G25" t="s">
        <v>59</v>
      </c>
      <c r="H25">
        <v>0</v>
      </c>
      <c r="I25" t="s">
        <v>127</v>
      </c>
      <c r="J25" t="str">
        <f t="shared" si="0"/>
        <v>通过</v>
      </c>
    </row>
  </sheetData>
  <mergeCells count="2">
    <mergeCell ref="A1:J1"/>
    <mergeCell ref="A2:J2"/>
  </mergeCells>
  <conditionalFormatting sqref="J5:J24">
    <cfRule type="containsText" dxfId="0" priority="1" operator="between" text="通过">
      <formula>NOT(ISERROR(SEARCH("通过",J5)))</formula>
    </cfRule>
    <cfRule type="containsText" dxfId="1" priority="2" operator="between" text="待">
      <formula>NOT(ISERROR(SEARCH("待",J5)))</formula>
    </cfRule>
    <cfRule type="containsText" dxfId="2" priority="3" operator="between" text="错误">
      <formula>NOT(ISERROR(SEARCH("错误",J5)))</formula>
    </cfRule>
  </conditionalFormatting>
  <dataValidations count="3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G5:G24">
      <formula1>"是,否"</formula1>
    </dataValidation>
    <dataValidation type="list" sqref="I5:I24">
      <formula1>"金币,泥土,石头,原木,木板,树苗,蔬菜,鱼,黄金鱼"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showGridLines="0" workbookViewId="0">
      <selection activeCell="A1" sqref="A1:H1"/>
    </sheetView>
  </sheetViews>
  <sheetFormatPr defaultColWidth="9" defaultRowHeight="14.25" outlineLevelCol="7"/>
  <cols>
    <col min="1" max="1" width="28" style="25" customWidth="1"/>
    <col min="2" max="2" width="9" style="25" customWidth="1"/>
    <col min="3" max="3" width="17" style="25" customWidth="1"/>
    <col min="4" max="4" width="12" style="25" customWidth="1"/>
    <col min="5" max="5" width="13" style="25" customWidth="1"/>
    <col min="6" max="6" width="12" style="25" customWidth="1"/>
    <col min="7" max="7" width="13" style="25" customWidth="1"/>
    <col min="8" max="8" width="20" style="25" customWidth="1"/>
  </cols>
  <sheetData>
    <row r="1" s="25" customFormat="1" ht="30" customHeight="1" spans="1:8">
      <c r="A1" s="26" t="s">
        <v>225</v>
      </c>
    </row>
    <row r="2" s="25" customFormat="1" ht="38" customHeight="1" spans="1:8">
      <c r="A2" s="27" t="s">
        <v>226</v>
      </c>
    </row>
    <row r="3" spans="1:8">
      <c r="A3" s="28"/>
      <c r="B3" s="28"/>
      <c r="C3" s="28"/>
      <c r="D3" s="28"/>
      <c r="E3" s="28"/>
      <c r="F3" s="28"/>
      <c r="G3" s="28"/>
      <c r="H3" s="28"/>
    </row>
    <row r="4" s="25" customFormat="1" ht="30" customHeight="1" spans="1:8">
      <c r="A4" s="29" t="s">
        <v>35</v>
      </c>
      <c r="B4" s="30" t="s">
        <v>147</v>
      </c>
      <c r="C4" s="30" t="s">
        <v>227</v>
      </c>
      <c r="D4" s="30" t="s">
        <v>228</v>
      </c>
      <c r="E4" s="30" t="s">
        <v>229</v>
      </c>
      <c r="F4" s="30" t="s">
        <v>230</v>
      </c>
      <c r="G4" s="30" t="s">
        <v>231</v>
      </c>
      <c r="H4" s="31" t="s">
        <v>188</v>
      </c>
    </row>
    <row r="5" spans="1:8">
      <c r="A5" s="32" t="s">
        <v>69</v>
      </c>
      <c r="B5" s="34">
        <v>1</v>
      </c>
      <c r="C5" s="34" t="s">
        <v>130</v>
      </c>
      <c r="D5" s="34">
        <v>2</v>
      </c>
      <c r="E5" s="34">
        <v>1</v>
      </c>
      <c r="F5" s="34">
        <v>3</v>
      </c>
      <c r="G5" s="54">
        <f t="shared" ref="G5:G28" si="0">E5/F5</f>
        <v>0.333333333333333</v>
      </c>
      <c r="H5" s="35" t="str">
        <f>IF(COUNTIFS(等级_岗位!$A$5:$A$200,A5,等级_岗位!$B$5:$B$200,B5)=0,"错误：缺少岗位","通过")</f>
        <v>通过</v>
      </c>
    </row>
    <row r="6" spans="1:8">
      <c r="A6" s="36" t="s">
        <v>69</v>
      </c>
      <c r="B6" s="38">
        <v>1</v>
      </c>
      <c r="C6" s="38" t="s">
        <v>130</v>
      </c>
      <c r="D6" s="38">
        <v>3</v>
      </c>
      <c r="E6" s="38">
        <v>2</v>
      </c>
      <c r="F6" s="38">
        <v>3</v>
      </c>
      <c r="G6" s="55">
        <f t="shared" si="0"/>
        <v>0.666666666666667</v>
      </c>
      <c r="H6" s="39" t="str">
        <f>IF(COUNTIFS(等级_岗位!$A$5:$A$200,A6,等级_岗位!$B$5:$B$200,B6)=0,"错误：缺少岗位","通过")</f>
        <v>通过</v>
      </c>
    </row>
    <row r="7" spans="1:8">
      <c r="A7" s="36" t="s">
        <v>69</v>
      </c>
      <c r="B7" s="38">
        <v>2</v>
      </c>
      <c r="C7" s="38" t="s">
        <v>130</v>
      </c>
      <c r="D7" s="38">
        <v>2</v>
      </c>
      <c r="E7" s="38">
        <v>1</v>
      </c>
      <c r="F7" s="38">
        <v>3</v>
      </c>
      <c r="G7" s="55">
        <f t="shared" si="0"/>
        <v>0.333333333333333</v>
      </c>
      <c r="H7" s="39" t="str">
        <f>IF(COUNTIFS(等级_岗位!$A$5:$A$200,A7,等级_岗位!$B$5:$B$200,B7)=0,"错误：缺少岗位","通过")</f>
        <v>通过</v>
      </c>
    </row>
    <row r="8" spans="1:8">
      <c r="A8" s="36" t="s">
        <v>69</v>
      </c>
      <c r="B8" s="38">
        <v>2</v>
      </c>
      <c r="C8" s="38" t="s">
        <v>130</v>
      </c>
      <c r="D8" s="38">
        <v>3</v>
      </c>
      <c r="E8" s="38">
        <v>2</v>
      </c>
      <c r="F8" s="38">
        <v>3</v>
      </c>
      <c r="G8" s="55">
        <f t="shared" si="0"/>
        <v>0.666666666666667</v>
      </c>
      <c r="H8" s="39" t="str">
        <f>IF(COUNTIFS(等级_岗位!$A$5:$A$200,A8,等级_岗位!$B$5:$B$200,B8)=0,"错误：缺少岗位","通过")</f>
        <v>通过</v>
      </c>
    </row>
    <row r="9" spans="1:8">
      <c r="A9" s="36" t="s">
        <v>69</v>
      </c>
      <c r="B9" s="38">
        <v>2</v>
      </c>
      <c r="C9" s="38" t="s">
        <v>130</v>
      </c>
      <c r="D9" s="38">
        <v>5</v>
      </c>
      <c r="E9" s="38">
        <v>4</v>
      </c>
      <c r="F9" s="38">
        <v>3</v>
      </c>
      <c r="G9" s="55">
        <f t="shared" si="0"/>
        <v>1.33333333333333</v>
      </c>
      <c r="H9" s="39" t="str">
        <f>IF(COUNTIFS(等级_岗位!$A$5:$A$200,A9,等级_岗位!$B$5:$B$200,B9)=0,"错误：缺少岗位","通过")</f>
        <v>通过</v>
      </c>
    </row>
    <row r="10" spans="1:8">
      <c r="A10" s="36" t="s">
        <v>74</v>
      </c>
      <c r="B10" s="38">
        <v>1</v>
      </c>
      <c r="C10" s="38" t="s">
        <v>232</v>
      </c>
      <c r="D10" s="38">
        <v>2</v>
      </c>
      <c r="E10" s="38">
        <v>1</v>
      </c>
      <c r="F10" s="38">
        <v>3</v>
      </c>
      <c r="G10" s="55">
        <f t="shared" si="0"/>
        <v>0.333333333333333</v>
      </c>
      <c r="H10" s="39" t="str">
        <f>IF(COUNTIFS(等级_岗位!$A$5:$A$200,A10,等级_岗位!$B$5:$B$200,B10)=0,"错误：缺少岗位","通过")</f>
        <v>通过</v>
      </c>
    </row>
    <row r="11" spans="1:8">
      <c r="A11" s="36" t="s">
        <v>74</v>
      </c>
      <c r="B11" s="38">
        <v>1</v>
      </c>
      <c r="C11" s="38" t="s">
        <v>232</v>
      </c>
      <c r="D11" s="38">
        <v>3</v>
      </c>
      <c r="E11" s="38">
        <v>2</v>
      </c>
      <c r="F11" s="38">
        <v>3</v>
      </c>
      <c r="G11" s="55">
        <f t="shared" si="0"/>
        <v>0.666666666666667</v>
      </c>
      <c r="H11" s="39" t="str">
        <f>IF(COUNTIFS(等级_岗位!$A$5:$A$200,A11,等级_岗位!$B$5:$B$200,B11)=0,"错误：缺少岗位","通过")</f>
        <v>通过</v>
      </c>
    </row>
    <row r="12" spans="1:8">
      <c r="A12" s="36" t="s">
        <v>74</v>
      </c>
      <c r="B12" s="38">
        <v>2</v>
      </c>
      <c r="C12" s="38" t="s">
        <v>232</v>
      </c>
      <c r="D12" s="38">
        <v>2</v>
      </c>
      <c r="E12" s="38">
        <v>1</v>
      </c>
      <c r="F12" s="38">
        <v>3</v>
      </c>
      <c r="G12" s="55">
        <f t="shared" si="0"/>
        <v>0.333333333333333</v>
      </c>
      <c r="H12" s="39" t="str">
        <f>IF(COUNTIFS(等级_岗位!$A$5:$A$200,A12,等级_岗位!$B$5:$B$200,B12)=0,"错误：缺少岗位","通过")</f>
        <v>通过</v>
      </c>
    </row>
    <row r="13" spans="1:8">
      <c r="A13" s="36" t="s">
        <v>74</v>
      </c>
      <c r="B13" s="38">
        <v>2</v>
      </c>
      <c r="C13" s="38" t="s">
        <v>232</v>
      </c>
      <c r="D13" s="38">
        <v>3</v>
      </c>
      <c r="E13" s="38">
        <v>2</v>
      </c>
      <c r="F13" s="38">
        <v>3</v>
      </c>
      <c r="G13" s="55">
        <f t="shared" si="0"/>
        <v>0.666666666666667</v>
      </c>
      <c r="H13" s="39" t="str">
        <f>IF(COUNTIFS(等级_岗位!$A$5:$A$200,A13,等级_岗位!$B$5:$B$200,B13)=0,"错误：缺少岗位","通过")</f>
        <v>通过</v>
      </c>
    </row>
    <row r="14" spans="1:8">
      <c r="A14" s="28" t="s">
        <v>101</v>
      </c>
      <c r="B14" s="42">
        <v>1</v>
      </c>
      <c r="C14" s="42" t="s">
        <v>129</v>
      </c>
      <c r="D14" s="42">
        <v>2</v>
      </c>
      <c r="E14" s="42">
        <v>1</v>
      </c>
      <c r="F14" s="42">
        <v>1</v>
      </c>
      <c r="G14" s="53">
        <f t="shared" si="0"/>
        <v>1</v>
      </c>
      <c r="H14" s="28" t="str">
        <f>IF(COUNTIFS(等级_岗位!$A$5:$A$200,A14,等级_岗位!$B$5:$B$200,B14)=0,"错误：缺少岗位","通过")</f>
        <v>通过</v>
      </c>
    </row>
    <row r="15" spans="1:8">
      <c r="A15" s="28" t="s">
        <v>101</v>
      </c>
      <c r="B15" s="42">
        <v>1</v>
      </c>
      <c r="C15" s="42" t="s">
        <v>129</v>
      </c>
      <c r="D15" s="42">
        <v>4</v>
      </c>
      <c r="E15" s="42">
        <v>2</v>
      </c>
      <c r="F15" s="42">
        <v>1</v>
      </c>
      <c r="G15" s="53">
        <f t="shared" si="0"/>
        <v>2</v>
      </c>
      <c r="H15" s="28" t="str">
        <f>IF(COUNTIFS(等级_岗位!$A$5:$A$200,A15,等级_岗位!$B$5:$B$200,B15)=0,"错误：缺少岗位","通过")</f>
        <v>通过</v>
      </c>
    </row>
    <row r="16" spans="1:8">
      <c r="A16" s="28" t="s">
        <v>101</v>
      </c>
      <c r="B16" s="42">
        <v>1</v>
      </c>
      <c r="C16" s="42" t="s">
        <v>129</v>
      </c>
      <c r="D16" s="42">
        <v>6</v>
      </c>
      <c r="E16" s="42">
        <v>4</v>
      </c>
      <c r="F16" s="42">
        <v>1</v>
      </c>
      <c r="G16" s="53">
        <f t="shared" si="0"/>
        <v>4</v>
      </c>
      <c r="H16" s="28" t="str">
        <f>IF(COUNTIFS(等级_岗位!$A$5:$A$200,A16,等级_岗位!$B$5:$B$200,B16)=0,"错误：缺少岗位","通过")</f>
        <v>通过</v>
      </c>
    </row>
    <row r="17" spans="1:8">
      <c r="A17" s="28" t="s">
        <v>101</v>
      </c>
      <c r="B17" s="42">
        <v>2</v>
      </c>
      <c r="C17" s="42" t="s">
        <v>129</v>
      </c>
      <c r="D17" s="42">
        <v>1</v>
      </c>
      <c r="E17" s="42">
        <v>1</v>
      </c>
      <c r="F17" s="42">
        <v>1</v>
      </c>
      <c r="G17" s="53">
        <f t="shared" si="0"/>
        <v>1</v>
      </c>
      <c r="H17" s="28" t="str">
        <f>IF(COUNTIFS(等级_岗位!$A$5:$A$200,A17,等级_岗位!$B$5:$B$200,B17)=0,"错误：缺少岗位","通过")</f>
        <v>通过</v>
      </c>
    </row>
    <row r="18" spans="1:8">
      <c r="A18" s="28" t="s">
        <v>101</v>
      </c>
      <c r="B18" s="42">
        <v>2</v>
      </c>
      <c r="C18" s="42" t="s">
        <v>129</v>
      </c>
      <c r="D18" s="42">
        <v>2</v>
      </c>
      <c r="E18" s="42">
        <v>2</v>
      </c>
      <c r="F18" s="42">
        <v>1</v>
      </c>
      <c r="G18" s="53">
        <f t="shared" si="0"/>
        <v>2</v>
      </c>
      <c r="H18" s="28" t="str">
        <f>IF(COUNTIFS(等级_岗位!$A$5:$A$200,A18,等级_岗位!$B$5:$B$200,B18)=0,"错误：缺少岗位","通过")</f>
        <v>通过</v>
      </c>
    </row>
    <row r="19" spans="1:8">
      <c r="A19" s="28" t="s">
        <v>101</v>
      </c>
      <c r="B19" s="42">
        <v>2</v>
      </c>
      <c r="C19" s="42" t="s">
        <v>129</v>
      </c>
      <c r="D19" s="42">
        <v>3</v>
      </c>
      <c r="E19" s="42">
        <v>3</v>
      </c>
      <c r="F19" s="42">
        <v>1</v>
      </c>
      <c r="G19" s="53">
        <f t="shared" si="0"/>
        <v>3</v>
      </c>
      <c r="H19" s="28" t="str">
        <f>IF(COUNTIFS(等级_岗位!$A$5:$A$200,A19,等级_岗位!$B$5:$B$200,B19)=0,"错误：缺少岗位","通过")</f>
        <v>通过</v>
      </c>
    </row>
    <row r="20" spans="1:8">
      <c r="A20" s="28" t="s">
        <v>101</v>
      </c>
      <c r="B20" s="42">
        <v>2</v>
      </c>
      <c r="C20" s="42" t="s">
        <v>129</v>
      </c>
      <c r="D20" s="42">
        <v>4</v>
      </c>
      <c r="E20" s="42">
        <v>4</v>
      </c>
      <c r="F20" s="42">
        <v>1</v>
      </c>
      <c r="G20" s="53">
        <f t="shared" si="0"/>
        <v>4</v>
      </c>
      <c r="H20" s="28" t="str">
        <f>IF(COUNTIFS(等级_岗位!$A$5:$A$200,A20,等级_岗位!$B$5:$B$200,B20)=0,"错误：缺少岗位","通过")</f>
        <v>通过</v>
      </c>
    </row>
    <row r="21" spans="1:8">
      <c r="A21" s="28" t="s">
        <v>101</v>
      </c>
      <c r="B21" s="42">
        <v>2</v>
      </c>
      <c r="C21" s="42" t="s">
        <v>129</v>
      </c>
      <c r="D21" s="42">
        <v>5</v>
      </c>
      <c r="E21" s="42">
        <v>5</v>
      </c>
      <c r="F21" s="42">
        <v>1</v>
      </c>
      <c r="G21" s="53">
        <f t="shared" si="0"/>
        <v>5</v>
      </c>
      <c r="H21" s="28" t="str">
        <f>IF(COUNTIFS(等级_岗位!$A$5:$A$200,A21,等级_岗位!$B$5:$B$200,B21)=0,"错误：缺少岗位","通过")</f>
        <v>通过</v>
      </c>
    </row>
    <row r="22" spans="1:8">
      <c r="A22" s="28" t="s">
        <v>101</v>
      </c>
      <c r="B22" s="42">
        <v>2</v>
      </c>
      <c r="C22" s="42" t="s">
        <v>129</v>
      </c>
      <c r="D22" s="42">
        <v>6</v>
      </c>
      <c r="E22" s="42">
        <v>9</v>
      </c>
      <c r="F22" s="42">
        <v>1</v>
      </c>
      <c r="G22" s="53">
        <f t="shared" si="0"/>
        <v>9</v>
      </c>
      <c r="H22" s="28" t="str">
        <f>IF(COUNTIFS(等级_岗位!$A$5:$A$200,A22,等级_岗位!$B$5:$B$200,B22)=0,"错误：缺少岗位","通过")</f>
        <v>通过</v>
      </c>
    </row>
    <row r="23" spans="1:8">
      <c r="A23" s="28" t="s">
        <v>101</v>
      </c>
      <c r="B23" s="42">
        <v>3</v>
      </c>
      <c r="C23" s="42" t="s">
        <v>129</v>
      </c>
      <c r="D23" s="42">
        <v>1</v>
      </c>
      <c r="E23" s="42">
        <v>2</v>
      </c>
      <c r="F23" s="42">
        <v>1</v>
      </c>
      <c r="G23" s="53">
        <f t="shared" si="0"/>
        <v>2</v>
      </c>
      <c r="H23" s="28" t="str">
        <f>IF(COUNTIFS(等级_岗位!$A$5:$A$200,A23,等级_岗位!$B$5:$B$200,B23)=0,"错误：缺少岗位","通过")</f>
        <v>通过</v>
      </c>
    </row>
    <row r="24" spans="1:8">
      <c r="A24" s="28" t="s">
        <v>101</v>
      </c>
      <c r="B24" s="42">
        <v>3</v>
      </c>
      <c r="C24" s="42" t="s">
        <v>129</v>
      </c>
      <c r="D24" s="42">
        <v>2</v>
      </c>
      <c r="E24" s="42">
        <v>4</v>
      </c>
      <c r="F24" s="42">
        <v>1</v>
      </c>
      <c r="G24" s="53">
        <f t="shared" si="0"/>
        <v>4</v>
      </c>
      <c r="H24" s="28" t="str">
        <f>IF(COUNTIFS(等级_岗位!$A$5:$A$200,A24,等级_岗位!$B$5:$B$200,B24)=0,"错误：缺少岗位","通过")</f>
        <v>通过</v>
      </c>
    </row>
    <row r="25" spans="1:8">
      <c r="A25" t="s">
        <v>101</v>
      </c>
      <c r="B25">
        <v>3</v>
      </c>
      <c r="C25" t="s">
        <v>129</v>
      </c>
      <c r="D25">
        <v>3</v>
      </c>
      <c r="E25">
        <v>6</v>
      </c>
      <c r="F25">
        <v>1</v>
      </c>
      <c r="G25">
        <f t="shared" si="0"/>
        <v>6</v>
      </c>
      <c r="H25" t="str">
        <f>IF(COUNTIFS(等级_岗位!$A$5:$A$200,A25,等级_岗位!$B$5:$B$200,B25)=0,"错误：缺少岗位","通过")</f>
        <v>通过</v>
      </c>
    </row>
    <row r="26" spans="1:8">
      <c r="A26" t="s">
        <v>101</v>
      </c>
      <c r="B26">
        <v>3</v>
      </c>
      <c r="C26" t="s">
        <v>129</v>
      </c>
      <c r="D26">
        <v>4</v>
      </c>
      <c r="E26">
        <v>8</v>
      </c>
      <c r="F26">
        <v>1</v>
      </c>
      <c r="G26">
        <f t="shared" si="0"/>
        <v>8</v>
      </c>
      <c r="H26" t="str">
        <f>IF(COUNTIFS(等级_岗位!$A$5:$A$200,A26,等级_岗位!$B$5:$B$200,B26)=0,"错误：缺少岗位","通过")</f>
        <v>通过</v>
      </c>
    </row>
    <row r="27" spans="1:8">
      <c r="A27" t="s">
        <v>101</v>
      </c>
      <c r="B27">
        <v>3</v>
      </c>
      <c r="C27" t="s">
        <v>129</v>
      </c>
      <c r="D27">
        <v>5</v>
      </c>
      <c r="E27">
        <v>10</v>
      </c>
      <c r="F27">
        <v>1</v>
      </c>
      <c r="G27">
        <f t="shared" si="0"/>
        <v>10</v>
      </c>
      <c r="H27" t="str">
        <f>IF(COUNTIFS(等级_岗位!$A$5:$A$200,A27,等级_岗位!$B$5:$B$200,B27)=0,"错误：缺少岗位","通过")</f>
        <v>通过</v>
      </c>
    </row>
    <row r="28" spans="1:8">
      <c r="A28" t="s">
        <v>101</v>
      </c>
      <c r="B28">
        <v>3</v>
      </c>
      <c r="C28" t="s">
        <v>129</v>
      </c>
      <c r="D28">
        <v>6</v>
      </c>
      <c r="E28">
        <v>22</v>
      </c>
      <c r="F28">
        <v>1</v>
      </c>
      <c r="G28">
        <f t="shared" si="0"/>
        <v>22</v>
      </c>
      <c r="H28" t="str">
        <f>IF(COUNTIFS(等级_岗位!$A$5:$A$200,A28,等级_岗位!$B$5:$B$200,B28)=0,"错误：缺少岗位","通过")</f>
        <v>通过</v>
      </c>
    </row>
  </sheetData>
  <mergeCells count="2">
    <mergeCell ref="A1:H1"/>
    <mergeCell ref="A2:H2"/>
  </mergeCells>
  <conditionalFormatting sqref="H5:H24">
    <cfRule type="containsText" dxfId="0" priority="1" operator="between" text="通过">
      <formula>NOT(ISERROR(SEARCH("通过",H5)))</formula>
    </cfRule>
    <cfRule type="containsText" dxfId="1" priority="2" operator="between" text="待">
      <formula>NOT(ISERROR(SEARCH("待",H5)))</formula>
    </cfRule>
    <cfRule type="containsText" dxfId="2" priority="3" operator="between" text="错误">
      <formula>NOT(ISERROR(SEARCH("错误",H5)))</formula>
    </cfRule>
  </conditionalFormatting>
  <dataValidations count="2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C5:C24">
      <formula1>"金币,泥土,石头,原木,木板,树苗,蔬菜,鱼,黄金鱼"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4"/>
  <sheetViews>
    <sheetView showGridLines="0" workbookViewId="0">
      <selection activeCell="A1" sqref="A1:H1"/>
    </sheetView>
  </sheetViews>
  <sheetFormatPr defaultColWidth="9" defaultRowHeight="14.25" outlineLevelCol="7"/>
  <cols>
    <col min="1" max="1" width="28" style="25" customWidth="1"/>
    <col min="2" max="2" width="9" style="25" customWidth="1"/>
    <col min="3" max="3" width="10" style="25" customWidth="1"/>
    <col min="4" max="4" width="16" style="25" customWidth="1"/>
    <col min="5" max="6" width="12" style="25" customWidth="1"/>
    <col min="7" max="7" width="10" style="25" customWidth="1"/>
    <col min="8" max="8" width="18" style="25" customWidth="1"/>
  </cols>
  <sheetData>
    <row r="1" s="25" customFormat="1" ht="30" customHeight="1" spans="1:8">
      <c r="A1" s="26" t="s">
        <v>233</v>
      </c>
    </row>
    <row r="2" s="25" customFormat="1" ht="38" customHeight="1" spans="1:8">
      <c r="A2" s="27" t="s">
        <v>234</v>
      </c>
    </row>
    <row r="3" spans="1:8">
      <c r="A3" s="28"/>
      <c r="B3" s="28"/>
      <c r="C3" s="28"/>
      <c r="D3" s="28"/>
      <c r="E3" s="28"/>
      <c r="F3" s="28"/>
      <c r="G3" s="28"/>
      <c r="H3" s="28"/>
    </row>
    <row r="4" s="25" customFormat="1" ht="30" customHeight="1" spans="1:8">
      <c r="A4" s="29" t="s">
        <v>35</v>
      </c>
      <c r="B4" s="30" t="s">
        <v>147</v>
      </c>
      <c r="C4" s="30" t="s">
        <v>235</v>
      </c>
      <c r="D4" s="30" t="s">
        <v>16</v>
      </c>
      <c r="E4" s="30" t="s">
        <v>236</v>
      </c>
      <c r="F4" s="30" t="s">
        <v>237</v>
      </c>
      <c r="G4" s="30" t="s">
        <v>126</v>
      </c>
      <c r="H4" s="31" t="s">
        <v>188</v>
      </c>
    </row>
    <row r="5" spans="1:8">
      <c r="A5" s="32" t="s">
        <v>74</v>
      </c>
      <c r="B5" s="34">
        <v>1</v>
      </c>
      <c r="C5" s="32" t="s">
        <v>59</v>
      </c>
      <c r="D5" s="32" t="s">
        <v>238</v>
      </c>
      <c r="E5" s="34">
        <v>3</v>
      </c>
      <c r="F5" s="51">
        <v>1</v>
      </c>
      <c r="G5" s="34">
        <v>1</v>
      </c>
      <c r="H5" s="35" t="str">
        <f>IF(OR(F5&lt;0,F5&gt;100),"错误：概率范围","通过")</f>
        <v>通过</v>
      </c>
    </row>
    <row r="6" spans="1:8">
      <c r="A6" s="36" t="s">
        <v>74</v>
      </c>
      <c r="B6" s="38">
        <v>2</v>
      </c>
      <c r="C6" s="36" t="s">
        <v>59</v>
      </c>
      <c r="D6" s="36" t="s">
        <v>238</v>
      </c>
      <c r="E6" s="38">
        <v>3</v>
      </c>
      <c r="F6" s="52">
        <v>1</v>
      </c>
      <c r="G6" s="38">
        <v>1</v>
      </c>
      <c r="H6" s="39" t="str">
        <f>IF(OR(F6&lt;0,F6&gt;100),"错误：概率范围","通过")</f>
        <v>通过</v>
      </c>
    </row>
    <row r="7" spans="1:8">
      <c r="A7" s="28"/>
      <c r="B7" s="42"/>
      <c r="C7" s="28"/>
      <c r="D7" s="28"/>
      <c r="E7" s="42"/>
      <c r="F7" s="53"/>
      <c r="G7" s="42"/>
      <c r="H7" s="28"/>
    </row>
    <row r="8" spans="1:8">
      <c r="A8" s="28"/>
      <c r="B8" s="42"/>
      <c r="C8" s="28"/>
      <c r="D8" s="28"/>
      <c r="E8" s="42"/>
      <c r="F8" s="53"/>
      <c r="G8" s="42"/>
      <c r="H8" s="28"/>
    </row>
    <row r="9" spans="1:8">
      <c r="A9" s="28"/>
      <c r="B9" s="42"/>
      <c r="C9" s="28"/>
      <c r="D9" s="28"/>
      <c r="E9" s="42"/>
      <c r="F9" s="53"/>
      <c r="G9" s="42"/>
      <c r="H9" s="28"/>
    </row>
    <row r="10" spans="1:8">
      <c r="A10" s="28"/>
      <c r="B10" s="42"/>
      <c r="C10" s="28"/>
      <c r="D10" s="28"/>
      <c r="E10" s="42"/>
      <c r="F10" s="53"/>
      <c r="G10" s="42"/>
      <c r="H10" s="28"/>
    </row>
    <row r="11" spans="1:8">
      <c r="A11" s="28"/>
      <c r="B11" s="42"/>
      <c r="C11" s="28"/>
      <c r="D11" s="28"/>
      <c r="E11" s="42"/>
      <c r="F11" s="53"/>
      <c r="G11" s="42"/>
      <c r="H11" s="28"/>
    </row>
    <row r="12" spans="1:8">
      <c r="A12" s="28"/>
      <c r="B12" s="42"/>
      <c r="C12" s="28"/>
      <c r="D12" s="28"/>
      <c r="E12" s="42"/>
      <c r="F12" s="53"/>
      <c r="G12" s="42"/>
      <c r="H12" s="28"/>
    </row>
    <row r="13" spans="1:8">
      <c r="A13" s="28"/>
      <c r="B13" s="42"/>
      <c r="C13" s="28"/>
      <c r="D13" s="28"/>
      <c r="E13" s="42"/>
      <c r="F13" s="53"/>
      <c r="G13" s="42"/>
      <c r="H13" s="28"/>
    </row>
    <row r="14" spans="1:8">
      <c r="A14" s="28"/>
      <c r="B14" s="42"/>
      <c r="C14" s="28"/>
      <c r="D14" s="28"/>
      <c r="E14" s="42"/>
      <c r="F14" s="53"/>
      <c r="G14" s="42"/>
      <c r="H14" s="28"/>
    </row>
    <row r="15" spans="1:8">
      <c r="A15" s="28"/>
      <c r="B15" s="42"/>
      <c r="C15" s="28"/>
      <c r="D15" s="28"/>
      <c r="E15" s="42"/>
      <c r="F15" s="53"/>
      <c r="G15" s="42"/>
      <c r="H15" s="28"/>
    </row>
    <row r="16" spans="1:8">
      <c r="A16" s="28"/>
      <c r="B16" s="42"/>
      <c r="C16" s="28"/>
      <c r="D16" s="28"/>
      <c r="E16" s="42"/>
      <c r="F16" s="53"/>
      <c r="G16" s="42"/>
      <c r="H16" s="28"/>
    </row>
    <row r="17" spans="1:8">
      <c r="A17" s="28"/>
      <c r="B17" s="42"/>
      <c r="C17" s="28"/>
      <c r="D17" s="28"/>
      <c r="E17" s="42"/>
      <c r="F17" s="53"/>
      <c r="G17" s="42"/>
      <c r="H17" s="28"/>
    </row>
    <row r="18" spans="1:8">
      <c r="A18" s="28"/>
      <c r="B18" s="42"/>
      <c r="C18" s="28"/>
      <c r="D18" s="28"/>
      <c r="E18" s="42"/>
      <c r="F18" s="53"/>
      <c r="G18" s="42"/>
      <c r="H18" s="28"/>
    </row>
    <row r="19" spans="1:8">
      <c r="A19" s="28"/>
      <c r="B19" s="42"/>
      <c r="C19" s="28"/>
      <c r="D19" s="28"/>
      <c r="E19" s="42"/>
      <c r="F19" s="53"/>
      <c r="G19" s="42"/>
      <c r="H19" s="28"/>
    </row>
    <row r="20" spans="1:8">
      <c r="A20" s="28"/>
      <c r="B20" s="42"/>
      <c r="C20" s="28"/>
      <c r="D20" s="28"/>
      <c r="E20" s="42"/>
      <c r="F20" s="53"/>
      <c r="G20" s="42"/>
      <c r="H20" s="28"/>
    </row>
    <row r="21" spans="1:8">
      <c r="A21" s="28"/>
      <c r="B21" s="42"/>
      <c r="C21" s="28"/>
      <c r="D21" s="28"/>
      <c r="E21" s="42"/>
      <c r="F21" s="53"/>
      <c r="G21" s="42"/>
      <c r="H21" s="28"/>
    </row>
    <row r="22" spans="1:8">
      <c r="A22" s="28"/>
      <c r="B22" s="42"/>
      <c r="C22" s="28"/>
      <c r="D22" s="28"/>
      <c r="E22" s="42"/>
      <c r="F22" s="53"/>
      <c r="G22" s="42"/>
      <c r="H22" s="28"/>
    </row>
    <row r="23" spans="1:8">
      <c r="A23" s="28"/>
      <c r="B23" s="42"/>
      <c r="C23" s="28"/>
      <c r="D23" s="28"/>
      <c r="E23" s="42"/>
      <c r="F23" s="53"/>
      <c r="G23" s="42"/>
      <c r="H23" s="28"/>
    </row>
    <row r="24" spans="1:8">
      <c r="A24" s="28"/>
      <c r="B24" s="42"/>
      <c r="C24" s="28"/>
      <c r="D24" s="28"/>
      <c r="E24" s="42"/>
      <c r="F24" s="53"/>
      <c r="G24" s="42"/>
      <c r="H24" s="28"/>
    </row>
  </sheetData>
  <mergeCells count="2">
    <mergeCell ref="A1:H1"/>
    <mergeCell ref="A2:H2"/>
  </mergeCells>
  <conditionalFormatting sqref="H5:H24">
    <cfRule type="containsText" dxfId="0" priority="1" operator="between" text="通过">
      <formula>NOT(ISERROR(SEARCH("通过",H5)))</formula>
    </cfRule>
    <cfRule type="containsText" dxfId="1" priority="2" operator="between" text="待">
      <formula>NOT(ISERROR(SEARCH("待",H5)))</formula>
    </cfRule>
    <cfRule type="containsText" dxfId="2" priority="3" operator="between" text="错误">
      <formula>NOT(ISERROR(SEARCH("错误",H5)))</formula>
    </cfRule>
  </conditionalFormatting>
  <dataValidations count="3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C5:C24">
      <formula1>"是,否"</formula1>
    </dataValidation>
    <dataValidation type="list" sqref="D5:D24">
      <formula1>"金币,泥土,石头,原木,木板,树苗,蔬菜,鱼,黄金鱼"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"/>
  <sheetViews>
    <sheetView showGridLines="0" workbookViewId="0">
      <selection activeCell="A1" sqref="A1:M1"/>
    </sheetView>
  </sheetViews>
  <sheetFormatPr defaultColWidth="9" defaultRowHeight="14.25"/>
  <cols>
    <col min="1" max="1" width="28" style="25" customWidth="1"/>
    <col min="2" max="2" width="9" style="25" customWidth="1"/>
    <col min="3" max="3" width="15" style="25" customWidth="1"/>
    <col min="4" max="4" width="13" style="25" customWidth="1"/>
    <col min="5" max="5" width="20" style="25" customWidth="1"/>
    <col min="6" max="6" width="13" style="25" customWidth="1"/>
    <col min="7" max="7" width="15" style="25" customWidth="1"/>
    <col min="8" max="8" width="12" style="25" customWidth="1"/>
    <col min="9" max="10" width="15" style="25" customWidth="1"/>
    <col min="11" max="11" width="13" style="25" customWidth="1"/>
    <col min="12" max="13" width="22" style="25" customWidth="1"/>
    <col min="14" max="15" width="22" customWidth="1"/>
  </cols>
  <sheetData>
    <row r="1" s="25" customFormat="1" ht="30" customHeight="1" spans="1:15">
      <c r="A1" s="26" t="s">
        <v>239</v>
      </c>
    </row>
    <row r="2" s="25" customFormat="1" ht="38" customHeight="1" spans="1:15">
      <c r="A2" s="27" t="s">
        <v>240</v>
      </c>
    </row>
    <row r="3" spans="1:15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</row>
    <row r="4" s="25" customFormat="1" ht="30" customHeight="1" spans="1:15">
      <c r="A4" s="29" t="s">
        <v>35</v>
      </c>
      <c r="B4" s="30" t="s">
        <v>147</v>
      </c>
      <c r="C4" s="30" t="s">
        <v>241</v>
      </c>
      <c r="D4" s="30" t="s">
        <v>242</v>
      </c>
      <c r="E4" s="30" t="s">
        <v>243</v>
      </c>
      <c r="F4" s="30" t="s">
        <v>244</v>
      </c>
      <c r="G4" s="30" t="s">
        <v>245</v>
      </c>
      <c r="H4" s="30" t="s">
        <v>246</v>
      </c>
      <c r="I4" s="30" t="s">
        <v>247</v>
      </c>
      <c r="J4" s="30" t="s">
        <v>248</v>
      </c>
      <c r="K4" s="30" t="s">
        <v>249</v>
      </c>
      <c r="L4" s="30" t="s">
        <v>250</v>
      </c>
      <c r="M4" s="31" t="s">
        <v>188</v>
      </c>
      <c r="N4" s="49" t="s">
        <v>251</v>
      </c>
      <c r="O4" s="49" t="s">
        <v>252</v>
      </c>
    </row>
    <row r="5" spans="1:15">
      <c r="A5" s="32" t="s">
        <v>85</v>
      </c>
      <c r="B5" s="34">
        <v>1</v>
      </c>
      <c r="C5" s="34">
        <v>2</v>
      </c>
      <c r="D5" s="34">
        <v>1</v>
      </c>
      <c r="E5" s="34" t="s">
        <v>127</v>
      </c>
      <c r="F5" s="34">
        <v>1</v>
      </c>
      <c r="G5" s="34">
        <v>2</v>
      </c>
      <c r="H5" s="34">
        <v>1</v>
      </c>
      <c r="I5" s="34">
        <v>30</v>
      </c>
      <c r="J5" s="34">
        <v>0</v>
      </c>
      <c r="K5" s="34">
        <v>0</v>
      </c>
      <c r="L5" s="34">
        <v>10</v>
      </c>
      <c r="M5" s="35" t="str">
        <f>IF(COUNTIFS(等级_岗位!$A$5:$A$200,A5,等级_岗位!$B$5:$B$200,B5)=0,"错误：缺少岗位",IF(MAX(C5,G5,J5)&gt;SUMIFS(等级_岗位!$C$5:$C$200,等级_岗位!$A$5:$A$200,A5,等级_岗位!$B$5:$B$200,B5),"错误：阈值超上限","通过"))</f>
        <v>通过</v>
      </c>
      <c r="N5" s="50" t="s">
        <v>192</v>
      </c>
      <c r="O5" s="50" t="s">
        <v>192</v>
      </c>
    </row>
    <row r="6" spans="1:15">
      <c r="A6" s="36" t="s">
        <v>85</v>
      </c>
      <c r="B6" s="38">
        <v>2</v>
      </c>
      <c r="C6" s="38">
        <v>3</v>
      </c>
      <c r="D6" s="38">
        <v>2</v>
      </c>
      <c r="E6" s="38" t="s">
        <v>127</v>
      </c>
      <c r="F6" s="38">
        <v>2</v>
      </c>
      <c r="G6" s="38">
        <v>2</v>
      </c>
      <c r="H6" s="38">
        <v>1</v>
      </c>
      <c r="I6" s="38">
        <v>50</v>
      </c>
      <c r="J6" s="38">
        <v>0</v>
      </c>
      <c r="K6" s="38">
        <v>0</v>
      </c>
      <c r="L6" s="38">
        <v>10</v>
      </c>
      <c r="M6" s="39" t="str">
        <f>IF(COUNTIFS(等级_岗位!$A$5:$A$200,A6,等级_岗位!$B$5:$B$200,B6)=0,"错误：缺少岗位",IF(MAX(C6,G6,J6)&gt;SUMIFS(等级_岗位!$C$5:$C$200,等级_岗位!$A$5:$A$200,A6,等级_岗位!$B$5:$B$200,B6),"错误：阈值超上限","通过"))</f>
        <v>通过</v>
      </c>
      <c r="N6" s="50" t="s">
        <v>193</v>
      </c>
      <c r="O6" s="50" t="s">
        <v>193</v>
      </c>
    </row>
    <row r="7" spans="1:15">
      <c r="A7" s="36" t="s">
        <v>85</v>
      </c>
      <c r="B7" s="38">
        <v>3</v>
      </c>
      <c r="C7" s="38">
        <v>4</v>
      </c>
      <c r="D7" s="38">
        <v>3</v>
      </c>
      <c r="E7" s="38" t="s">
        <v>127</v>
      </c>
      <c r="F7" s="38">
        <v>3</v>
      </c>
      <c r="G7" s="38">
        <v>0</v>
      </c>
      <c r="H7" s="38">
        <v>0</v>
      </c>
      <c r="I7" s="38">
        <v>0</v>
      </c>
      <c r="J7" s="38">
        <v>5</v>
      </c>
      <c r="K7" s="38">
        <v>1</v>
      </c>
      <c r="L7" s="38">
        <v>10</v>
      </c>
      <c r="M7" s="39" t="str">
        <f>IF(COUNTIFS(等级_岗位!$A$5:$A$200,A7,等级_岗位!$B$5:$B$200,B7)=0,"错误：缺少岗位",IF(MAX(C7,G7,J7)&gt;SUMIFS(等级_岗位!$C$5:$C$200,等级_岗位!$A$5:$A$200,A7,等级_岗位!$B$5:$B$200,B7),"错误：阈值超上限","通过"))</f>
        <v>通过</v>
      </c>
      <c r="N7" s="50" t="s">
        <v>194</v>
      </c>
      <c r="O7" s="50" t="s">
        <v>194</v>
      </c>
    </row>
    <row r="8" spans="1:15">
      <c r="A8" s="28" t="s">
        <v>114</v>
      </c>
      <c r="B8" s="42">
        <v>1</v>
      </c>
      <c r="C8" s="42">
        <v>2</v>
      </c>
      <c r="D8" s="42">
        <v>2</v>
      </c>
      <c r="E8" s="42" t="s">
        <v>127</v>
      </c>
      <c r="F8" s="42">
        <v>1</v>
      </c>
      <c r="G8" s="42">
        <v>2</v>
      </c>
      <c r="H8" s="42">
        <v>1</v>
      </c>
      <c r="I8" s="42">
        <v>30</v>
      </c>
      <c r="J8" s="42">
        <v>0</v>
      </c>
      <c r="K8" s="42">
        <v>0</v>
      </c>
      <c r="L8" s="42">
        <v>10</v>
      </c>
      <c r="M8" s="28" t="str">
        <f>IF(COUNTIFS(等级_岗位!$A$5:$A$200,A8,等级_岗位!$B$5:$B$200,B8)=0,"错误：缺少岗位",IF(MAX(C8,G8,J8)&gt;SUMIFS(等级_岗位!$C$5:$C$200,等级_岗位!$A$5:$A$200,A8,等级_岗位!$B$5:$B$200,B8),"错误：阈值超上限","通过"))</f>
        <v>通过</v>
      </c>
      <c r="N8" s="50" t="s">
        <v>253</v>
      </c>
      <c r="O8" s="50" t="s">
        <v>253</v>
      </c>
    </row>
    <row r="9" spans="1:15">
      <c r="A9" s="28" t="s">
        <v>114</v>
      </c>
      <c r="B9" s="42">
        <v>2</v>
      </c>
      <c r="C9" s="42">
        <v>3</v>
      </c>
      <c r="D9" s="42">
        <v>4</v>
      </c>
      <c r="E9" s="42" t="s">
        <v>127</v>
      </c>
      <c r="F9" s="42">
        <v>2</v>
      </c>
      <c r="G9" s="42">
        <v>2</v>
      </c>
      <c r="H9" s="42">
        <v>1</v>
      </c>
      <c r="I9" s="42">
        <v>50</v>
      </c>
      <c r="J9" s="42">
        <v>0</v>
      </c>
      <c r="K9" s="42">
        <v>0</v>
      </c>
      <c r="L9" s="42">
        <v>10</v>
      </c>
      <c r="M9" s="28" t="str">
        <f>IF(COUNTIFS(等级_岗位!$A$5:$A$200,A9,等级_岗位!$B$5:$B$200,B9)=0,"错误：缺少岗位",IF(MAX(C9,G9,J9)&gt;SUMIFS(等级_岗位!$C$5:$C$200,等级_岗位!$A$5:$A$200,A9,等级_岗位!$B$5:$B$200,B9),"错误：阈值超上限","通过"))</f>
        <v>通过</v>
      </c>
      <c r="N9" s="50" t="s">
        <v>253</v>
      </c>
      <c r="O9" s="50" t="s">
        <v>253</v>
      </c>
    </row>
    <row r="10" spans="1:15">
      <c r="A10" s="28" t="s">
        <v>114</v>
      </c>
      <c r="B10" s="42">
        <v>3</v>
      </c>
      <c r="C10" s="42">
        <v>4</v>
      </c>
      <c r="D10" s="42">
        <v>6</v>
      </c>
      <c r="E10" s="42" t="s">
        <v>127</v>
      </c>
      <c r="F10" s="42">
        <v>3</v>
      </c>
      <c r="G10" s="42">
        <v>0</v>
      </c>
      <c r="H10" s="42">
        <v>0</v>
      </c>
      <c r="I10" s="42">
        <v>0</v>
      </c>
      <c r="J10" s="42">
        <v>5</v>
      </c>
      <c r="K10" s="42">
        <v>1</v>
      </c>
      <c r="L10" s="42">
        <v>10</v>
      </c>
      <c r="M10" s="28" t="str">
        <f>IF(COUNTIFS(等级_岗位!$A$5:$A$200,A10,等级_岗位!$B$5:$B$200,B10)=0,"错误：缺少岗位",IF(MAX(C10,G10,J10)&gt;SUMIFS(等级_岗位!$C$5:$C$200,等级_岗位!$A$5:$A$200,A10,等级_岗位!$B$5:$B$200,B10),"错误：阈值超上限","通过"))</f>
        <v>通过</v>
      </c>
      <c r="N10" s="50" t="s">
        <v>253</v>
      </c>
      <c r="O10" s="50" t="s">
        <v>253</v>
      </c>
    </row>
    <row r="11" spans="1:15">
      <c r="A11" s="28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28"/>
      <c r="N11" s="50"/>
      <c r="O11" s="50"/>
    </row>
    <row r="12" spans="1:15">
      <c r="A12" s="28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28"/>
      <c r="N12" s="50"/>
      <c r="O12" s="50"/>
    </row>
    <row r="13" spans="1:15">
      <c r="A13" s="28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28"/>
      <c r="N13" s="50"/>
      <c r="O13" s="50"/>
    </row>
    <row r="14" spans="1:15">
      <c r="A14" s="28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28"/>
      <c r="N14" s="50"/>
      <c r="O14" s="50"/>
    </row>
    <row r="15" spans="1:15">
      <c r="A15" s="28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28"/>
      <c r="N15" s="50"/>
      <c r="O15" s="50"/>
    </row>
    <row r="16" spans="1:15">
      <c r="A16" s="28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28"/>
      <c r="N16" s="50"/>
      <c r="O16" s="50"/>
    </row>
    <row r="17" spans="1:15">
      <c r="A17" s="28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28"/>
      <c r="N17" s="50"/>
      <c r="O17" s="50"/>
    </row>
    <row r="18" spans="1:15">
      <c r="A18" s="28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28"/>
      <c r="N18" s="50"/>
      <c r="O18" s="50"/>
    </row>
    <row r="19" spans="1:15">
      <c r="A19" s="28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28"/>
      <c r="N19" s="50"/>
      <c r="O19" s="50"/>
    </row>
    <row r="20" spans="1:15">
      <c r="A20" s="28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28"/>
      <c r="N20" s="50"/>
      <c r="O20" s="50"/>
    </row>
    <row r="21" spans="1:15">
      <c r="A21" s="28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28"/>
      <c r="N21" s="50"/>
      <c r="O21" s="50"/>
    </row>
    <row r="22" spans="1:15">
      <c r="A22" s="28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28"/>
      <c r="N22" s="50"/>
      <c r="O22" s="50"/>
    </row>
    <row r="23" spans="1:15">
      <c r="A23" s="28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28"/>
      <c r="N23" s="50"/>
      <c r="O23" s="50"/>
    </row>
    <row r="24" spans="1:15">
      <c r="A24" s="28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28"/>
      <c r="N24" s="50"/>
      <c r="O24" s="50"/>
    </row>
  </sheetData>
  <mergeCells count="2">
    <mergeCell ref="A1:M1"/>
    <mergeCell ref="A2:M2"/>
  </mergeCells>
  <conditionalFormatting sqref="M5:M24">
    <cfRule type="containsText" dxfId="0" priority="1" operator="between" text="通过">
      <formula>NOT(ISERROR(SEARCH("通过",M5)))</formula>
    </cfRule>
    <cfRule type="containsText" dxfId="1" priority="2" operator="between" text="待">
      <formula>NOT(ISERROR(SEARCH("待",M5)))</formula>
    </cfRule>
    <cfRule type="containsText" dxfId="2" priority="3" operator="between" text="错误">
      <formula>NOT(ISERROR(SEARCH("错误",M5)))</formula>
    </cfRule>
  </conditionalFormatting>
  <dataValidations count="4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E5:E24">
      <formula1>"金币,泥土,石头,原木,木板,树苗,蔬菜,鱼,黄金鱼"</formula1>
    </dataValidation>
    <dataValidation type="list" sqref="N5:O24">
      <formula1>"Default,Palace,PalaceImproved,PalaceAdvanced,PalaceRoyal,BasicWarehouse,Warehouse,AdvancedWarehouse,ColdStorage,Cellar,Granary,Armory"</formula1>
    </dataValidation>
    <dataValidation type="list" sqref="N25:O204">
      <formula1>"简陋库存,普通库存,高级库存,冻库,粮库"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showGridLines="0" workbookViewId="0">
      <selection activeCell="A1" sqref="A1:E1"/>
    </sheetView>
  </sheetViews>
  <sheetFormatPr defaultColWidth="9" defaultRowHeight="14.25" outlineLevelCol="4"/>
  <cols>
    <col min="1" max="1" width="28" style="25" customWidth="1"/>
    <col min="2" max="3" width="16" style="25" customWidth="1"/>
    <col min="4" max="4" width="14" style="25" customWidth="1"/>
    <col min="5" max="5" width="18" style="25" customWidth="1"/>
  </cols>
  <sheetData>
    <row r="1" s="25" customFormat="1" ht="30" customHeight="1" spans="1:5">
      <c r="A1" s="26" t="s">
        <v>254</v>
      </c>
    </row>
    <row r="2" s="25" customFormat="1" ht="38" customHeight="1" spans="1:5">
      <c r="A2" s="27" t="s">
        <v>255</v>
      </c>
    </row>
    <row r="3" spans="1:5">
      <c r="A3" s="28"/>
      <c r="B3" s="28"/>
      <c r="C3" s="28"/>
      <c r="D3" s="28"/>
      <c r="E3" s="28"/>
    </row>
    <row r="4" s="25" customFormat="1" ht="30" customHeight="1" spans="1:5">
      <c r="A4" s="29" t="s">
        <v>35</v>
      </c>
      <c r="B4" s="30" t="s">
        <v>224</v>
      </c>
      <c r="C4" s="30" t="s">
        <v>256</v>
      </c>
      <c r="D4" s="30" t="s">
        <v>257</v>
      </c>
      <c r="E4" s="31" t="s">
        <v>188</v>
      </c>
    </row>
    <row r="5" spans="1:5">
      <c r="A5" s="32" t="s">
        <v>81</v>
      </c>
      <c r="B5" s="32" t="s">
        <v>127</v>
      </c>
      <c r="C5" s="46">
        <v>0.1</v>
      </c>
      <c r="D5" s="47">
        <f>C5</f>
        <v>0.1</v>
      </c>
      <c r="E5" s="35" t="str">
        <f>IF(C5&lt;0,"错误：比例","通过")</f>
        <v>通过</v>
      </c>
    </row>
    <row r="6" spans="1:5">
      <c r="A6" s="28"/>
      <c r="B6" s="28"/>
      <c r="C6" s="48"/>
      <c r="D6" s="28"/>
      <c r="E6" s="28"/>
    </row>
    <row r="7" spans="1:5">
      <c r="A7" s="28"/>
      <c r="B7" s="28"/>
      <c r="C7" s="48"/>
      <c r="D7" s="28"/>
      <c r="E7" s="28"/>
    </row>
    <row r="8" spans="1:5">
      <c r="A8" s="28"/>
      <c r="B8" s="28"/>
      <c r="C8" s="48"/>
      <c r="D8" s="28"/>
      <c r="E8" s="28"/>
    </row>
    <row r="9" spans="1:5">
      <c r="A9" s="28"/>
      <c r="B9" s="28"/>
      <c r="C9" s="48"/>
      <c r="D9" s="28"/>
      <c r="E9" s="28"/>
    </row>
    <row r="10" spans="1:5">
      <c r="A10" s="28"/>
      <c r="B10" s="28"/>
      <c r="C10" s="48"/>
      <c r="D10" s="28"/>
      <c r="E10" s="28"/>
    </row>
    <row r="11" spans="1:5">
      <c r="A11" s="28"/>
      <c r="B11" s="28"/>
      <c r="C11" s="48"/>
      <c r="D11" s="28"/>
      <c r="E11" s="28"/>
    </row>
    <row r="12" spans="1:5">
      <c r="A12" s="28"/>
      <c r="B12" s="28"/>
      <c r="C12" s="48"/>
      <c r="D12" s="28"/>
      <c r="E12" s="28"/>
    </row>
    <row r="13" spans="1:5">
      <c r="A13" s="28"/>
      <c r="B13" s="28"/>
      <c r="C13" s="48"/>
      <c r="D13" s="28"/>
      <c r="E13" s="28"/>
    </row>
    <row r="14" spans="1:5">
      <c r="A14" s="28"/>
      <c r="B14" s="28"/>
      <c r="C14" s="48"/>
      <c r="D14" s="28"/>
      <c r="E14" s="28"/>
    </row>
    <row r="15" spans="1:5">
      <c r="A15" s="28"/>
      <c r="B15" s="28"/>
      <c r="C15" s="48"/>
      <c r="D15" s="28"/>
      <c r="E15" s="28"/>
    </row>
    <row r="16" spans="1:5">
      <c r="A16" s="28"/>
      <c r="B16" s="28"/>
      <c r="C16" s="48"/>
      <c r="D16" s="28"/>
      <c r="E16" s="28"/>
    </row>
    <row r="17" spans="1:5">
      <c r="A17" s="28"/>
      <c r="B17" s="28"/>
      <c r="C17" s="48"/>
      <c r="D17" s="28"/>
      <c r="E17" s="28"/>
    </row>
    <row r="18" spans="1:5">
      <c r="A18" s="28"/>
      <c r="B18" s="28"/>
      <c r="C18" s="48"/>
      <c r="D18" s="28"/>
      <c r="E18" s="28"/>
    </row>
    <row r="19" spans="1:5">
      <c r="A19" s="28"/>
      <c r="B19" s="28"/>
      <c r="C19" s="48"/>
      <c r="D19" s="28"/>
      <c r="E19" s="28"/>
    </row>
    <row r="20" spans="1:5">
      <c r="A20" s="28"/>
      <c r="B20" s="28"/>
      <c r="C20" s="48"/>
      <c r="D20" s="28"/>
      <c r="E20" s="28"/>
    </row>
    <row r="21" spans="1:5">
      <c r="A21" s="28"/>
      <c r="B21" s="28"/>
      <c r="C21" s="48"/>
      <c r="D21" s="28"/>
      <c r="E21" s="28"/>
    </row>
    <row r="22" spans="1:5">
      <c r="A22" s="28"/>
      <c r="B22" s="28"/>
      <c r="C22" s="48"/>
      <c r="D22" s="28"/>
      <c r="E22" s="28"/>
    </row>
    <row r="23" spans="1:5">
      <c r="A23" s="28"/>
      <c r="B23" s="28"/>
      <c r="C23" s="48"/>
      <c r="D23" s="28"/>
      <c r="E23" s="28"/>
    </row>
    <row r="24" spans="1:5">
      <c r="A24" s="28"/>
      <c r="B24" s="28"/>
      <c r="C24" s="48"/>
      <c r="D24" s="28"/>
      <c r="E24" s="28"/>
    </row>
  </sheetData>
  <mergeCells count="2">
    <mergeCell ref="A1:E1"/>
    <mergeCell ref="A2:E2"/>
  </mergeCells>
  <conditionalFormatting sqref="E5:E24">
    <cfRule type="containsText" dxfId="0" priority="1" operator="between" text="通过">
      <formula>NOT(ISERROR(SEARCH("通过",E5)))</formula>
    </cfRule>
    <cfRule type="containsText" dxfId="1" priority="2" operator="between" text="待">
      <formula>NOT(ISERROR(SEARCH("待",E5)))</formula>
    </cfRule>
    <cfRule type="containsText" dxfId="2" priority="3" operator="between" text="错误">
      <formula>NOT(ISERROR(SEARCH("错误",E5)))</formula>
    </cfRule>
  </conditionalFormatting>
  <dataValidations count="2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B5:B24">
      <formula1>"金币,泥土,石头,原木,木板,树苗,蔬菜,鱼,黄金鱼"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showGridLines="0" workbookViewId="0">
      <selection activeCell="A1" sqref="A1:K1"/>
    </sheetView>
  </sheetViews>
  <sheetFormatPr defaultColWidth="9" defaultRowHeight="14.25"/>
  <cols>
    <col min="1" max="1" width="28" style="25" customWidth="1"/>
    <col min="2" max="4" width="11" style="25" customWidth="1"/>
    <col min="5" max="5" width="15" style="25" customWidth="1"/>
    <col min="6" max="6" width="11" style="25" customWidth="1"/>
    <col min="7" max="7" width="17" style="25" customWidth="1"/>
    <col min="8" max="8" width="11" style="25" customWidth="1"/>
    <col min="9" max="9" width="13" style="25" customWidth="1"/>
    <col min="10" max="10" width="16" style="25" customWidth="1"/>
    <col min="11" max="11" width="18" style="25" customWidth="1"/>
  </cols>
  <sheetData>
    <row r="1" s="25" customFormat="1" ht="30" customHeight="1" spans="1:11">
      <c r="A1" s="26" t="s">
        <v>258</v>
      </c>
    </row>
    <row r="2" s="25" customFormat="1" ht="38" customHeight="1" spans="1:11">
      <c r="A2" s="27" t="s">
        <v>259</v>
      </c>
    </row>
    <row r="3" spans="1:11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</row>
    <row r="4" s="25" customFormat="1" ht="30" customHeight="1" spans="1:11">
      <c r="A4" s="29" t="s">
        <v>35</v>
      </c>
      <c r="B4" s="30" t="s">
        <v>260</v>
      </c>
      <c r="C4" s="30" t="s">
        <v>261</v>
      </c>
      <c r="D4" s="30" t="s">
        <v>262</v>
      </c>
      <c r="E4" s="30" t="s">
        <v>263</v>
      </c>
      <c r="F4" s="30" t="s">
        <v>264</v>
      </c>
      <c r="G4" s="30" t="s">
        <v>265</v>
      </c>
      <c r="H4" s="30" t="s">
        <v>266</v>
      </c>
      <c r="I4" s="30" t="s">
        <v>267</v>
      </c>
      <c r="J4" s="30" t="s">
        <v>268</v>
      </c>
      <c r="K4" s="31" t="s">
        <v>188</v>
      </c>
    </row>
    <row r="5" spans="1:11">
      <c r="A5" s="32" t="s">
        <v>93</v>
      </c>
      <c r="B5" s="34">
        <v>3</v>
      </c>
      <c r="C5" s="34">
        <v>6</v>
      </c>
      <c r="D5" s="34">
        <v>1</v>
      </c>
      <c r="E5" s="34" t="s">
        <v>130</v>
      </c>
      <c r="F5" s="34">
        <v>2</v>
      </c>
      <c r="G5" s="34" t="s">
        <v>132</v>
      </c>
      <c r="H5" s="34">
        <v>3</v>
      </c>
      <c r="I5" s="44">
        <f>(B5+C5)/2</f>
        <v>4.5</v>
      </c>
      <c r="J5" s="33">
        <f>ROUNDUP(I5/D5,0)</f>
        <v>5</v>
      </c>
      <c r="K5" s="35" t="str">
        <f>IF(C5&lt;B5,"错误：生命范围","通过")</f>
        <v>通过</v>
      </c>
    </row>
    <row r="6" spans="1:11">
      <c r="A6" s="28"/>
      <c r="B6" s="42"/>
      <c r="C6" s="42"/>
      <c r="D6" s="42"/>
      <c r="E6" s="42"/>
      <c r="F6" s="42"/>
      <c r="G6" s="42"/>
      <c r="H6" s="42"/>
      <c r="I6" s="45"/>
      <c r="J6" s="42"/>
      <c r="K6" s="28"/>
    </row>
    <row r="7" spans="1:11">
      <c r="A7" s="28"/>
      <c r="B7" s="42"/>
      <c r="C7" s="42"/>
      <c r="D7" s="42"/>
      <c r="E7" s="42"/>
      <c r="F7" s="42"/>
      <c r="G7" s="42"/>
      <c r="H7" s="42"/>
      <c r="I7" s="45"/>
      <c r="J7" s="42"/>
      <c r="K7" s="28"/>
    </row>
    <row r="8" spans="1:11">
      <c r="A8" s="28"/>
      <c r="B8" s="42"/>
      <c r="C8" s="42"/>
      <c r="D8" s="42"/>
      <c r="E8" s="42"/>
      <c r="F8" s="42"/>
      <c r="G8" s="42"/>
      <c r="H8" s="42"/>
      <c r="I8" s="45"/>
      <c r="J8" s="42"/>
      <c r="K8" s="28"/>
    </row>
    <row r="9" spans="1:11">
      <c r="A9" s="28"/>
      <c r="B9" s="42"/>
      <c r="C9" s="42"/>
      <c r="D9" s="42"/>
      <c r="E9" s="42"/>
      <c r="F9" s="42"/>
      <c r="G9" s="42"/>
      <c r="H9" s="42"/>
      <c r="I9" s="45"/>
      <c r="J9" s="42"/>
      <c r="K9" s="28"/>
    </row>
    <row r="10" spans="1:11">
      <c r="A10" s="28"/>
      <c r="B10" s="42"/>
      <c r="C10" s="42"/>
      <c r="D10" s="42"/>
      <c r="E10" s="42"/>
      <c r="F10" s="42"/>
      <c r="G10" s="42"/>
      <c r="H10" s="42"/>
      <c r="I10" s="45"/>
      <c r="J10" s="42"/>
      <c r="K10" s="28"/>
    </row>
    <row r="11" spans="1:11">
      <c r="A11" s="28"/>
      <c r="B11" s="42"/>
      <c r="C11" s="42"/>
      <c r="D11" s="42"/>
      <c r="E11" s="42"/>
      <c r="F11" s="42"/>
      <c r="G11" s="42"/>
      <c r="H11" s="42"/>
      <c r="I11" s="45"/>
      <c r="J11" s="42"/>
      <c r="K11" s="28"/>
    </row>
    <row r="12" spans="1:11">
      <c r="A12" s="28"/>
      <c r="B12" s="42"/>
      <c r="C12" s="42"/>
      <c r="D12" s="42"/>
      <c r="E12" s="42"/>
      <c r="F12" s="42"/>
      <c r="G12" s="42"/>
      <c r="H12" s="42"/>
      <c r="I12" s="45"/>
      <c r="J12" s="42"/>
      <c r="K12" s="28"/>
    </row>
    <row r="13" spans="1:11">
      <c r="A13" s="28"/>
      <c r="B13" s="42"/>
      <c r="C13" s="42"/>
      <c r="D13" s="42"/>
      <c r="E13" s="42"/>
      <c r="F13" s="42"/>
      <c r="G13" s="42"/>
      <c r="H13" s="42"/>
      <c r="I13" s="45"/>
      <c r="J13" s="42"/>
      <c r="K13" s="28"/>
    </row>
    <row r="14" spans="1:11">
      <c r="A14" s="28"/>
      <c r="B14" s="42"/>
      <c r="C14" s="42"/>
      <c r="D14" s="42"/>
      <c r="E14" s="42"/>
      <c r="F14" s="42"/>
      <c r="G14" s="42"/>
      <c r="H14" s="42"/>
      <c r="I14" s="45"/>
      <c r="J14" s="42"/>
      <c r="K14" s="28"/>
    </row>
    <row r="15" spans="1:11">
      <c r="A15" s="28"/>
      <c r="B15" s="42"/>
      <c r="C15" s="42"/>
      <c r="D15" s="42"/>
      <c r="E15" s="42"/>
      <c r="F15" s="42"/>
      <c r="G15" s="42"/>
      <c r="H15" s="42"/>
      <c r="I15" s="45"/>
      <c r="J15" s="42"/>
      <c r="K15" s="28"/>
    </row>
    <row r="16" spans="1:11">
      <c r="A16" s="28"/>
      <c r="B16" s="42"/>
      <c r="C16" s="42"/>
      <c r="D16" s="42"/>
      <c r="E16" s="42"/>
      <c r="F16" s="42"/>
      <c r="G16" s="42"/>
      <c r="H16" s="42"/>
      <c r="I16" s="45"/>
      <c r="J16" s="42"/>
      <c r="K16" s="28"/>
    </row>
    <row r="17" spans="1:11">
      <c r="A17" s="28"/>
      <c r="B17" s="42"/>
      <c r="C17" s="42"/>
      <c r="D17" s="42"/>
      <c r="E17" s="42"/>
      <c r="F17" s="42"/>
      <c r="G17" s="42"/>
      <c r="H17" s="42"/>
      <c r="I17" s="45"/>
      <c r="J17" s="42"/>
      <c r="K17" s="28"/>
    </row>
    <row r="18" spans="1:11">
      <c r="A18" s="28"/>
      <c r="B18" s="42"/>
      <c r="C18" s="42"/>
      <c r="D18" s="42"/>
      <c r="E18" s="42"/>
      <c r="F18" s="42"/>
      <c r="G18" s="42"/>
      <c r="H18" s="42"/>
      <c r="I18" s="45"/>
      <c r="J18" s="42"/>
      <c r="K18" s="28"/>
    </row>
    <row r="19" spans="1:11">
      <c r="A19" s="28"/>
      <c r="B19" s="42"/>
      <c r="C19" s="42"/>
      <c r="D19" s="42"/>
      <c r="E19" s="42"/>
      <c r="F19" s="42"/>
      <c r="G19" s="42"/>
      <c r="H19" s="42"/>
      <c r="I19" s="45"/>
      <c r="J19" s="42"/>
      <c r="K19" s="28"/>
    </row>
    <row r="20" spans="1:11">
      <c r="A20" s="28"/>
      <c r="B20" s="42"/>
      <c r="C20" s="42"/>
      <c r="D20" s="42"/>
      <c r="E20" s="42"/>
      <c r="F20" s="42"/>
      <c r="G20" s="42"/>
      <c r="H20" s="42"/>
      <c r="I20" s="45"/>
      <c r="J20" s="42"/>
      <c r="K20" s="28"/>
    </row>
    <row r="21" spans="1:11">
      <c r="A21" s="28"/>
      <c r="B21" s="42"/>
      <c r="C21" s="42"/>
      <c r="D21" s="42"/>
      <c r="E21" s="42"/>
      <c r="F21" s="42"/>
      <c r="G21" s="42"/>
      <c r="H21" s="42"/>
      <c r="I21" s="45"/>
      <c r="J21" s="42"/>
      <c r="K21" s="28"/>
    </row>
    <row r="22" spans="1:11">
      <c r="A22" s="28"/>
      <c r="B22" s="42"/>
      <c r="C22" s="42"/>
      <c r="D22" s="42"/>
      <c r="E22" s="42"/>
      <c r="F22" s="42"/>
      <c r="G22" s="42"/>
      <c r="H22" s="42"/>
      <c r="I22" s="45"/>
      <c r="J22" s="42"/>
      <c r="K22" s="28"/>
    </row>
    <row r="23" spans="1:11">
      <c r="A23" s="28"/>
      <c r="B23" s="42"/>
      <c r="C23" s="42"/>
      <c r="D23" s="42"/>
      <c r="E23" s="42"/>
      <c r="F23" s="42"/>
      <c r="G23" s="42"/>
      <c r="H23" s="42"/>
      <c r="I23" s="45"/>
      <c r="J23" s="42"/>
      <c r="K23" s="28"/>
    </row>
    <row r="24" spans="1:11">
      <c r="A24" s="28"/>
      <c r="B24" s="42"/>
      <c r="C24" s="42"/>
      <c r="D24" s="42"/>
      <c r="E24" s="42"/>
      <c r="F24" s="42"/>
      <c r="G24" s="42"/>
      <c r="H24" s="42"/>
      <c r="I24" s="45"/>
      <c r="J24" s="42"/>
      <c r="K24" s="28"/>
    </row>
  </sheetData>
  <mergeCells count="2">
    <mergeCell ref="A1:K1"/>
    <mergeCell ref="A2:K2"/>
  </mergeCells>
  <conditionalFormatting sqref="K5:K24">
    <cfRule type="containsText" dxfId="0" priority="1" operator="between" text="通过">
      <formula>NOT(ISERROR(SEARCH("通过",K5)))</formula>
    </cfRule>
    <cfRule type="containsText" dxfId="1" priority="2" operator="between" text="待">
      <formula>NOT(ISERROR(SEARCH("待",K5)))</formula>
    </cfRule>
    <cfRule type="containsText" dxfId="2" priority="3" operator="between" text="错误">
      <formula>NOT(ISERROR(SEARCH("错误",K5)))</formula>
    </cfRule>
  </conditionalFormatting>
  <dataValidations count="2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E5:E24 G5:G24">
      <formula1>"金币,泥土,石头,原木,木板,树苗,蔬菜,鱼,黄金鱼"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showGridLines="0" workbookViewId="0">
      <selection activeCell="A1" sqref="A1:M1"/>
    </sheetView>
  </sheetViews>
  <sheetFormatPr defaultColWidth="9" defaultRowHeight="14.25"/>
  <cols>
    <col min="1" max="1" width="25" style="25" customWidth="1"/>
    <col min="2" max="2" width="38" style="25" customWidth="1"/>
    <col min="3" max="3" width="23" style="25" customWidth="1"/>
    <col min="4" max="5" width="18" style="25" customWidth="1"/>
    <col min="6" max="9" width="13" style="25" customWidth="1"/>
    <col min="10" max="10" width="18" style="25" customWidth="1"/>
    <col min="11" max="11" width="16" style="25" customWidth="1"/>
    <col min="12" max="13" width="28" customWidth="1"/>
  </cols>
  <sheetData>
    <row r="1" s="25" customFormat="1" ht="26" customHeight="1" spans="1:13">
      <c r="A1" s="14" t="s">
        <v>269</v>
      </c>
      <c r="B1" s="14" t="s">
        <v>63</v>
      </c>
      <c r="C1" s="14" t="s">
        <v>63</v>
      </c>
      <c r="D1" s="14" t="s">
        <v>63</v>
      </c>
      <c r="E1" s="14" t="s">
        <v>63</v>
      </c>
      <c r="F1" s="14" t="s">
        <v>63</v>
      </c>
      <c r="G1" s="14" t="s">
        <v>63</v>
      </c>
      <c r="H1" s="14" t="s">
        <v>63</v>
      </c>
      <c r="I1" s="14" t="s">
        <v>63</v>
      </c>
      <c r="J1" s="14" t="s">
        <v>63</v>
      </c>
      <c r="K1" s="14" t="s">
        <v>63</v>
      </c>
      <c r="L1" s="43" t="s">
        <v>63</v>
      </c>
      <c r="M1" s="43" t="s">
        <v>63</v>
      </c>
    </row>
    <row r="2" s="25" customFormat="1" ht="34" customHeight="1" spans="1:13">
      <c r="A2" s="15" t="s">
        <v>270</v>
      </c>
      <c r="B2" s="15" t="s">
        <v>63</v>
      </c>
      <c r="C2" s="15" t="s">
        <v>63</v>
      </c>
      <c r="D2" s="15" t="s">
        <v>63</v>
      </c>
      <c r="E2" s="15" t="s">
        <v>63</v>
      </c>
      <c r="F2" s="15" t="s">
        <v>63</v>
      </c>
      <c r="G2" s="15" t="s">
        <v>63</v>
      </c>
      <c r="H2" s="15" t="s">
        <v>63</v>
      </c>
      <c r="I2" s="15" t="s">
        <v>63</v>
      </c>
      <c r="J2" s="15" t="s">
        <v>63</v>
      </c>
      <c r="K2" s="15" t="s">
        <v>63</v>
      </c>
      <c r="L2" s="19" t="s">
        <v>63</v>
      </c>
      <c r="M2" s="19" t="s">
        <v>63</v>
      </c>
    </row>
    <row r="3" spans="1:13">
      <c r="A3"/>
      <c r="B3"/>
      <c r="C3"/>
      <c r="D3"/>
      <c r="E3"/>
      <c r="F3"/>
      <c r="G3"/>
      <c r="H3"/>
      <c r="I3"/>
      <c r="J3"/>
      <c r="K3"/>
      <c r="L3" s="19"/>
      <c r="M3" s="19"/>
    </row>
    <row r="4" s="25" customFormat="1" ht="28" customHeight="1" spans="1:13">
      <c r="A4" s="16" t="s">
        <v>35</v>
      </c>
      <c r="B4" s="16" t="s">
        <v>271</v>
      </c>
      <c r="C4" s="16" t="s">
        <v>272</v>
      </c>
      <c r="D4" s="16" t="s">
        <v>273</v>
      </c>
      <c r="E4" s="16" t="s">
        <v>274</v>
      </c>
      <c r="F4" s="16" t="s">
        <v>275</v>
      </c>
      <c r="G4" s="16" t="s">
        <v>236</v>
      </c>
      <c r="H4" s="16" t="s">
        <v>276</v>
      </c>
      <c r="I4" s="16" t="s">
        <v>277</v>
      </c>
      <c r="J4" s="16" t="s">
        <v>278</v>
      </c>
      <c r="K4" s="16" t="s">
        <v>279</v>
      </c>
      <c r="L4" s="43" t="s">
        <v>280</v>
      </c>
      <c r="M4" s="43" t="s">
        <v>188</v>
      </c>
    </row>
    <row r="5" spans="1:13">
      <c r="A5" s="17" t="s">
        <v>93</v>
      </c>
      <c r="B5" s="17" t="s">
        <v>281</v>
      </c>
      <c r="C5" s="17" t="s">
        <v>282</v>
      </c>
      <c r="D5" s="17" t="s">
        <v>283</v>
      </c>
      <c r="E5" s="17" t="s">
        <v>284</v>
      </c>
      <c r="F5" s="18">
        <v>0</v>
      </c>
      <c r="G5" s="18">
        <v>0</v>
      </c>
      <c r="H5" s="18">
        <v>1</v>
      </c>
      <c r="I5" s="18">
        <v>1</v>
      </c>
      <c r="J5" s="17" t="s">
        <v>285</v>
      </c>
      <c r="K5" s="17" t="s">
        <v>59</v>
      </c>
      <c r="L5" s="19" t="str">
        <f t="shared" ref="L5:L18" si="0">IF(AND(D5="beauty",E5="cell",H5=1,I5=1,K5="否"),"正交四邻格各 +1",IF(D5="medical","按工人与等级提供医疗",IF(D5="security","按工人与等级提供治安","按当前参数计算")))</f>
        <v>正交四邻格各 +1</v>
      </c>
      <c r="M5" s="19" t="str">
        <f t="shared" ref="M5:M18" si="1">IF(OR(F5&lt;0,G5&lt;0,H5&lt;0,I5&lt;=0,AND(K5="否",H5&lt;1)),"错误：等级/工人/范围/数值",IF(AND(OR(D5="beauty",D5="medical",D5="security"),E5&lt;&gt;"cell"),"错误：格子效果目标","通过"))</f>
        <v>通过</v>
      </c>
    </row>
    <row r="6" spans="1:13">
      <c r="A6" s="17" t="s">
        <v>97</v>
      </c>
      <c r="B6" s="17" t="s">
        <v>286</v>
      </c>
      <c r="C6" s="17" t="s">
        <v>287</v>
      </c>
      <c r="D6" s="17" t="s">
        <v>283</v>
      </c>
      <c r="E6" s="17" t="s">
        <v>284</v>
      </c>
      <c r="F6" s="18">
        <v>0</v>
      </c>
      <c r="G6" s="18">
        <v>0</v>
      </c>
      <c r="H6" s="18">
        <v>1</v>
      </c>
      <c r="I6" s="18">
        <v>1</v>
      </c>
      <c r="J6" s="17" t="s">
        <v>285</v>
      </c>
      <c r="K6" s="17" t="s">
        <v>59</v>
      </c>
      <c r="L6" s="17" t="str">
        <f t="shared" si="0"/>
        <v>正交四邻格各 +1</v>
      </c>
      <c r="M6" s="17" t="str">
        <f t="shared" si="1"/>
        <v>通过</v>
      </c>
    </row>
    <row r="7" spans="1:13">
      <c r="A7" s="17" t="s">
        <v>106</v>
      </c>
      <c r="B7" s="17" t="s">
        <v>288</v>
      </c>
      <c r="C7" s="17" t="s">
        <v>289</v>
      </c>
      <c r="D7" s="17" t="s">
        <v>290</v>
      </c>
      <c r="E7" s="17" t="s">
        <v>284</v>
      </c>
      <c r="F7" s="18">
        <v>1</v>
      </c>
      <c r="G7" s="18">
        <v>2</v>
      </c>
      <c r="H7" s="18">
        <v>5</v>
      </c>
      <c r="I7" s="18">
        <v>1</v>
      </c>
      <c r="J7" s="17" t="s">
        <v>285</v>
      </c>
      <c r="K7" s="17" t="s">
        <v>59</v>
      </c>
      <c r="L7" s="17" t="str">
        <f t="shared" si="0"/>
        <v>按工人与等级提供医疗</v>
      </c>
      <c r="M7" s="17" t="str">
        <f t="shared" si="1"/>
        <v>通过</v>
      </c>
    </row>
    <row r="8" spans="1:13">
      <c r="A8" s="17" t="s">
        <v>106</v>
      </c>
      <c r="B8" s="17" t="s">
        <v>291</v>
      </c>
      <c r="C8" s="17" t="s">
        <v>292</v>
      </c>
      <c r="D8" s="17" t="s">
        <v>290</v>
      </c>
      <c r="E8" s="17" t="s">
        <v>284</v>
      </c>
      <c r="F8" s="18">
        <v>1</v>
      </c>
      <c r="G8" s="18">
        <v>4</v>
      </c>
      <c r="H8" s="18">
        <v>8</v>
      </c>
      <c r="I8" s="18">
        <v>1</v>
      </c>
      <c r="J8" s="17" t="s">
        <v>285</v>
      </c>
      <c r="K8" s="17" t="s">
        <v>59</v>
      </c>
      <c r="L8" s="17" t="str">
        <f t="shared" si="0"/>
        <v>按工人与等级提供医疗</v>
      </c>
      <c r="M8" s="17" t="str">
        <f t="shared" si="1"/>
        <v>通过</v>
      </c>
    </row>
    <row r="9" spans="1:13">
      <c r="A9" s="17" t="s">
        <v>106</v>
      </c>
      <c r="B9" s="17" t="s">
        <v>293</v>
      </c>
      <c r="C9" s="17" t="s">
        <v>294</v>
      </c>
      <c r="D9" s="17" t="s">
        <v>290</v>
      </c>
      <c r="E9" s="17" t="s">
        <v>284</v>
      </c>
      <c r="F9" s="18">
        <v>2</v>
      </c>
      <c r="G9" s="18">
        <v>4</v>
      </c>
      <c r="H9" s="18">
        <v>8</v>
      </c>
      <c r="I9" s="18">
        <v>2</v>
      </c>
      <c r="J9" s="17" t="s">
        <v>285</v>
      </c>
      <c r="K9" s="17" t="s">
        <v>59</v>
      </c>
      <c r="L9" s="17" t="str">
        <f t="shared" si="0"/>
        <v>按工人与等级提供医疗</v>
      </c>
      <c r="M9" s="17" t="str">
        <f t="shared" si="1"/>
        <v>通过</v>
      </c>
    </row>
    <row r="10" spans="1:13">
      <c r="A10" s="17" t="s">
        <v>106</v>
      </c>
      <c r="B10" s="17" t="s">
        <v>295</v>
      </c>
      <c r="C10" s="17" t="s">
        <v>296</v>
      </c>
      <c r="D10" s="17" t="s">
        <v>290</v>
      </c>
      <c r="E10" s="17" t="s">
        <v>284</v>
      </c>
      <c r="F10" s="18">
        <v>2</v>
      </c>
      <c r="G10" s="18">
        <v>8</v>
      </c>
      <c r="H10" s="18">
        <v>12</v>
      </c>
      <c r="I10" s="18">
        <v>2</v>
      </c>
      <c r="J10" s="17" t="s">
        <v>285</v>
      </c>
      <c r="K10" s="17" t="s">
        <v>59</v>
      </c>
      <c r="L10" s="17" t="str">
        <f t="shared" si="0"/>
        <v>按工人与等级提供医疗</v>
      </c>
      <c r="M10" s="17" t="str">
        <f t="shared" si="1"/>
        <v>通过</v>
      </c>
    </row>
    <row r="11" spans="1:13">
      <c r="A11" s="17" t="s">
        <v>106</v>
      </c>
      <c r="B11" s="17" t="s">
        <v>297</v>
      </c>
      <c r="C11" s="17" t="s">
        <v>298</v>
      </c>
      <c r="D11" s="17" t="s">
        <v>290</v>
      </c>
      <c r="E11" s="17" t="s">
        <v>284</v>
      </c>
      <c r="F11" s="18">
        <v>3</v>
      </c>
      <c r="G11" s="18">
        <v>8</v>
      </c>
      <c r="H11" s="18">
        <v>12</v>
      </c>
      <c r="I11" s="18">
        <v>3</v>
      </c>
      <c r="J11" s="17" t="s">
        <v>285</v>
      </c>
      <c r="K11" s="17" t="s">
        <v>59</v>
      </c>
      <c r="L11" s="17" t="str">
        <f t="shared" si="0"/>
        <v>按工人与等级提供医疗</v>
      </c>
      <c r="M11" s="17" t="str">
        <f t="shared" si="1"/>
        <v>通过</v>
      </c>
    </row>
    <row r="12" spans="1:13">
      <c r="A12" s="17" t="s">
        <v>106</v>
      </c>
      <c r="B12" s="17" t="s">
        <v>299</v>
      </c>
      <c r="C12" s="17" t="s">
        <v>300</v>
      </c>
      <c r="D12" s="17" t="s">
        <v>290</v>
      </c>
      <c r="E12" s="17" t="s">
        <v>284</v>
      </c>
      <c r="F12" s="18">
        <v>3</v>
      </c>
      <c r="G12" s="18">
        <v>16</v>
      </c>
      <c r="H12" s="18">
        <v>18</v>
      </c>
      <c r="I12" s="18">
        <v>3</v>
      </c>
      <c r="J12" s="17" t="s">
        <v>285</v>
      </c>
      <c r="K12" s="17" t="s">
        <v>59</v>
      </c>
      <c r="L12" s="17" t="str">
        <f t="shared" si="0"/>
        <v>按工人与等级提供医疗</v>
      </c>
      <c r="M12" s="17" t="str">
        <f t="shared" si="1"/>
        <v>通过</v>
      </c>
    </row>
    <row r="13" spans="1:13">
      <c r="A13" s="20" t="s">
        <v>110</v>
      </c>
      <c r="B13" s="20" t="s">
        <v>301</v>
      </c>
      <c r="C13" s="20" t="s">
        <v>302</v>
      </c>
      <c r="D13" s="20" t="s">
        <v>303</v>
      </c>
      <c r="E13" s="20" t="s">
        <v>284</v>
      </c>
      <c r="F13" s="20">
        <v>1</v>
      </c>
      <c r="G13" s="20">
        <v>2</v>
      </c>
      <c r="H13" s="20">
        <v>5</v>
      </c>
      <c r="I13" s="20">
        <v>1</v>
      </c>
      <c r="J13" s="20" t="s">
        <v>285</v>
      </c>
      <c r="K13" s="20" t="s">
        <v>59</v>
      </c>
      <c r="L13" s="21" t="str">
        <f t="shared" si="0"/>
        <v>按工人与等级提供治安</v>
      </c>
      <c r="M13" s="21" t="str">
        <f t="shared" si="1"/>
        <v>通过</v>
      </c>
    </row>
    <row r="14" spans="1:13">
      <c r="A14" s="20" t="s">
        <v>110</v>
      </c>
      <c r="B14" s="20" t="s">
        <v>304</v>
      </c>
      <c r="C14" s="20" t="s">
        <v>305</v>
      </c>
      <c r="D14" s="20" t="s">
        <v>303</v>
      </c>
      <c r="E14" s="20" t="s">
        <v>284</v>
      </c>
      <c r="F14" s="20">
        <v>1</v>
      </c>
      <c r="G14" s="20">
        <v>4</v>
      </c>
      <c r="H14" s="20">
        <v>8</v>
      </c>
      <c r="I14" s="20">
        <v>1</v>
      </c>
      <c r="J14" s="20" t="s">
        <v>285</v>
      </c>
      <c r="K14" s="20" t="s">
        <v>59</v>
      </c>
      <c r="L14" s="21" t="str">
        <f t="shared" si="0"/>
        <v>按工人与等级提供治安</v>
      </c>
      <c r="M14" s="21" t="str">
        <f t="shared" si="1"/>
        <v>通过</v>
      </c>
    </row>
    <row r="15" spans="1:13">
      <c r="A15" s="20" t="s">
        <v>110</v>
      </c>
      <c r="B15" s="20" t="s">
        <v>306</v>
      </c>
      <c r="C15" s="20" t="s">
        <v>307</v>
      </c>
      <c r="D15" s="20" t="s">
        <v>303</v>
      </c>
      <c r="E15" s="20" t="s">
        <v>284</v>
      </c>
      <c r="F15" s="20">
        <v>2</v>
      </c>
      <c r="G15" s="20">
        <v>4</v>
      </c>
      <c r="H15" s="20">
        <v>8</v>
      </c>
      <c r="I15" s="20">
        <v>2</v>
      </c>
      <c r="J15" s="20" t="s">
        <v>285</v>
      </c>
      <c r="K15" s="20" t="s">
        <v>59</v>
      </c>
      <c r="L15" s="21" t="str">
        <f t="shared" si="0"/>
        <v>按工人与等级提供治安</v>
      </c>
      <c r="M15" s="21" t="str">
        <f t="shared" si="1"/>
        <v>通过</v>
      </c>
    </row>
    <row r="16" spans="1:13">
      <c r="A16" s="20" t="s">
        <v>110</v>
      </c>
      <c r="B16" s="20" t="s">
        <v>308</v>
      </c>
      <c r="C16" s="20" t="s">
        <v>309</v>
      </c>
      <c r="D16" s="20" t="s">
        <v>303</v>
      </c>
      <c r="E16" s="20" t="s">
        <v>284</v>
      </c>
      <c r="F16" s="20">
        <v>2</v>
      </c>
      <c r="G16" s="20">
        <v>8</v>
      </c>
      <c r="H16" s="20">
        <v>12</v>
      </c>
      <c r="I16" s="20">
        <v>2</v>
      </c>
      <c r="J16" s="20" t="s">
        <v>285</v>
      </c>
      <c r="K16" s="20" t="s">
        <v>59</v>
      </c>
      <c r="L16" s="21" t="str">
        <f t="shared" si="0"/>
        <v>按工人与等级提供治安</v>
      </c>
      <c r="M16" s="21" t="str">
        <f t="shared" si="1"/>
        <v>通过</v>
      </c>
    </row>
    <row r="17" spans="1:13">
      <c r="A17" s="20" t="s">
        <v>110</v>
      </c>
      <c r="B17" s="20" t="s">
        <v>310</v>
      </c>
      <c r="C17" s="20" t="s">
        <v>311</v>
      </c>
      <c r="D17" s="20" t="s">
        <v>303</v>
      </c>
      <c r="E17" s="20" t="s">
        <v>284</v>
      </c>
      <c r="F17" s="20">
        <v>3</v>
      </c>
      <c r="G17" s="20">
        <v>8</v>
      </c>
      <c r="H17" s="20">
        <v>12</v>
      </c>
      <c r="I17" s="20">
        <v>3</v>
      </c>
      <c r="J17" s="20" t="s">
        <v>285</v>
      </c>
      <c r="K17" s="20" t="s">
        <v>59</v>
      </c>
      <c r="L17" s="21" t="str">
        <f t="shared" si="0"/>
        <v>按工人与等级提供治安</v>
      </c>
      <c r="M17" s="21" t="str">
        <f t="shared" si="1"/>
        <v>通过</v>
      </c>
    </row>
    <row r="18" spans="1:13">
      <c r="A18" s="20" t="s">
        <v>110</v>
      </c>
      <c r="B18" s="20" t="s">
        <v>312</v>
      </c>
      <c r="C18" s="20" t="s">
        <v>313</v>
      </c>
      <c r="D18" s="20" t="s">
        <v>303</v>
      </c>
      <c r="E18" s="20" t="s">
        <v>284</v>
      </c>
      <c r="F18" s="20">
        <v>3</v>
      </c>
      <c r="G18" s="20">
        <v>16</v>
      </c>
      <c r="H18" s="20">
        <v>18</v>
      </c>
      <c r="I18" s="20">
        <v>3</v>
      </c>
      <c r="J18" s="20" t="s">
        <v>285</v>
      </c>
      <c r="K18" s="20" t="s">
        <v>59</v>
      </c>
      <c r="L18" s="21" t="str">
        <f t="shared" si="0"/>
        <v>按工人与等级提供治安</v>
      </c>
      <c r="M18" s="21" t="str">
        <f t="shared" si="1"/>
        <v>通过</v>
      </c>
    </row>
    <row r="19" spans="1:13">
      <c r="A19"/>
      <c r="B19"/>
      <c r="C19"/>
      <c r="D19"/>
      <c r="E19"/>
      <c r="F19"/>
      <c r="G19"/>
      <c r="H19"/>
      <c r="I19"/>
      <c r="J19"/>
      <c r="K19"/>
    </row>
    <row r="20" spans="1:13">
      <c r="A20"/>
      <c r="B20"/>
      <c r="C20"/>
      <c r="D20"/>
      <c r="E20"/>
      <c r="F20"/>
      <c r="G20"/>
      <c r="H20"/>
      <c r="I20"/>
      <c r="J20"/>
      <c r="K20"/>
    </row>
    <row r="21" spans="1:13">
      <c r="A21"/>
      <c r="B21"/>
      <c r="C21"/>
      <c r="D21"/>
      <c r="E21"/>
      <c r="F21"/>
      <c r="G21"/>
      <c r="H21"/>
      <c r="I21"/>
      <c r="J21"/>
      <c r="K21"/>
    </row>
    <row r="22" spans="1:13">
      <c r="A22"/>
      <c r="B22"/>
      <c r="C22"/>
      <c r="D22"/>
      <c r="E22"/>
      <c r="F22"/>
      <c r="G22"/>
      <c r="H22"/>
      <c r="I22"/>
      <c r="J22"/>
      <c r="K22"/>
    </row>
    <row r="23" spans="1:13">
      <c r="A23"/>
      <c r="B23"/>
      <c r="C23"/>
      <c r="D23"/>
      <c r="E23"/>
      <c r="F23"/>
      <c r="G23"/>
      <c r="H23"/>
      <c r="I23"/>
      <c r="J23"/>
      <c r="K23"/>
    </row>
    <row r="24" spans="1:13">
      <c r="A24"/>
      <c r="B24"/>
      <c r="C24"/>
      <c r="D24"/>
      <c r="E24"/>
      <c r="F24"/>
      <c r="G24"/>
      <c r="H24"/>
      <c r="I24"/>
      <c r="J24"/>
      <c r="K24"/>
    </row>
  </sheetData>
  <mergeCells count="2">
    <mergeCell ref="A1:M1"/>
    <mergeCell ref="A2:M2"/>
  </mergeCells>
  <conditionalFormatting sqref="K5:K24">
    <cfRule type="containsText" dxfId="0" priority="1" operator="between" text="通过">
      <formula>NOT(ISERROR(SEARCH("通过",K5)))</formula>
    </cfRule>
    <cfRule type="containsText" dxfId="1" priority="2" operator="between" text="待">
      <formula>NOT(ISERROR(SEARCH("待",K5)))</formula>
    </cfRule>
    <cfRule type="containsText" dxfId="2" priority="3" operator="between" text="错误">
      <formula>NOT(ISERROR(SEARCH("错误",K5)))</formula>
    </cfRule>
  </conditionalFormatting>
  <dataValidations count="8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D5:D24">
      <formula1>"beauty,production_percent"</formula1>
    </dataValidation>
    <dataValidation type="list" sqref="D25:D200">
      <formula1>"beauty,medical,security,production_percent"</formula1>
    </dataValidation>
    <dataValidation type="list" sqref="E5:E24 E25:E200">
      <formula1>"cell,any_building,farmland"</formula1>
    </dataValidation>
    <dataValidation type="list" sqref="H5:H24">
      <formula1>"additive,no_stack,highest_value"</formula1>
    </dataValidation>
    <dataValidation type="list" sqref="I5:I24">
      <formula1>"是,否"</formula1>
    </dataValidation>
    <dataValidation type="list" sqref="J5:J200">
      <formula1>"highest_value,no_stack,additive"</formula1>
    </dataValidation>
    <dataValidation type="list" sqref="K5:K200">
      <formula1>"否,是"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showGridLines="0" workbookViewId="0">
      <selection activeCell="A1" sqref="A1:E1"/>
    </sheetView>
  </sheetViews>
  <sheetFormatPr defaultColWidth="9" defaultRowHeight="14.25" outlineLevelCol="4"/>
  <cols>
    <col min="1" max="1" width="28" style="25" customWidth="1"/>
    <col min="2" max="2" width="24" style="25" customWidth="1"/>
    <col min="3" max="3" width="18" style="25" customWidth="1"/>
    <col min="4" max="4" width="12" style="25" customWidth="1"/>
    <col min="5" max="5" width="42" style="25" customWidth="1"/>
  </cols>
  <sheetData>
    <row r="1" s="25" customFormat="1" ht="30" customHeight="1" spans="1:5">
      <c r="A1" s="26" t="s">
        <v>314</v>
      </c>
    </row>
    <row r="2" s="25" customFormat="1" ht="38" customHeight="1" spans="1:5">
      <c r="A2" s="27" t="s">
        <v>315</v>
      </c>
    </row>
    <row r="3" spans="1:5">
      <c r="A3" s="28"/>
      <c r="B3" s="28"/>
      <c r="C3" s="28"/>
      <c r="D3" s="28"/>
      <c r="E3" s="28"/>
    </row>
    <row r="4" s="25" customFormat="1" ht="30" customHeight="1" spans="1:5">
      <c r="A4" s="29" t="s">
        <v>35</v>
      </c>
      <c r="B4" s="30" t="s">
        <v>316</v>
      </c>
      <c r="C4" s="30" t="s">
        <v>272</v>
      </c>
      <c r="D4" s="30" t="s">
        <v>317</v>
      </c>
      <c r="E4" s="31" t="s">
        <v>53</v>
      </c>
    </row>
    <row r="5" spans="1:5">
      <c r="A5" s="28" t="s">
        <v>78</v>
      </c>
      <c r="B5" s="28" t="s">
        <v>318</v>
      </c>
      <c r="C5" s="28" t="s">
        <v>319</v>
      </c>
      <c r="D5" s="42">
        <v>3</v>
      </c>
      <c r="E5" s="28" t="s">
        <v>320</v>
      </c>
    </row>
    <row r="6" spans="1:5">
      <c r="A6" s="28" t="s">
        <v>78</v>
      </c>
      <c r="B6" s="28" t="s">
        <v>321</v>
      </c>
      <c r="C6" s="28" t="s">
        <v>322</v>
      </c>
      <c r="D6" s="42">
        <v>2</v>
      </c>
      <c r="E6" s="28" t="s">
        <v>323</v>
      </c>
    </row>
    <row r="7" spans="1:5">
      <c r="A7" s="28"/>
      <c r="B7" s="28"/>
      <c r="C7" s="28"/>
      <c r="D7" s="42"/>
      <c r="E7" s="28"/>
    </row>
    <row r="8" spans="1:5">
      <c r="A8" s="28"/>
      <c r="B8" s="28"/>
      <c r="C8" s="28"/>
      <c r="D8" s="42"/>
      <c r="E8" s="28"/>
    </row>
    <row r="9" spans="1:5">
      <c r="A9" s="28"/>
      <c r="B9" s="28"/>
      <c r="C9" s="28"/>
      <c r="D9" s="42"/>
      <c r="E9" s="28"/>
    </row>
    <row r="10" spans="1:5">
      <c r="A10" s="28"/>
      <c r="B10" s="28"/>
      <c r="C10" s="28"/>
      <c r="D10" s="42"/>
      <c r="E10" s="28"/>
    </row>
    <row r="11" spans="1:5">
      <c r="A11" s="28"/>
      <c r="B11" s="28"/>
      <c r="C11" s="28"/>
      <c r="D11" s="42"/>
      <c r="E11" s="28"/>
    </row>
    <row r="12" spans="1:5">
      <c r="A12" s="28"/>
      <c r="B12" s="28"/>
      <c r="C12" s="28"/>
      <c r="D12" s="42"/>
      <c r="E12" s="28"/>
    </row>
    <row r="13" spans="1:5">
      <c r="A13" s="28"/>
      <c r="B13" s="28"/>
      <c r="C13" s="28"/>
      <c r="D13" s="42"/>
      <c r="E13" s="28"/>
    </row>
    <row r="14" spans="1:5">
      <c r="A14" s="28"/>
      <c r="B14" s="28"/>
      <c r="C14" s="28"/>
      <c r="D14" s="42"/>
      <c r="E14" s="28"/>
    </row>
    <row r="15" spans="1:5">
      <c r="A15" s="28"/>
      <c r="B15" s="28"/>
      <c r="C15" s="28"/>
      <c r="D15" s="42"/>
      <c r="E15" s="28"/>
    </row>
    <row r="16" spans="1:5">
      <c r="A16" s="28"/>
      <c r="B16" s="28"/>
      <c r="C16" s="28"/>
      <c r="D16" s="42"/>
      <c r="E16" s="28"/>
    </row>
    <row r="17" spans="1:5">
      <c r="A17" s="28"/>
      <c r="B17" s="28"/>
      <c r="C17" s="28"/>
      <c r="D17" s="42"/>
      <c r="E17" s="28"/>
    </row>
    <row r="18" spans="1:5">
      <c r="A18" s="28"/>
      <c r="B18" s="28"/>
      <c r="C18" s="28"/>
      <c r="D18" s="42"/>
      <c r="E18" s="28"/>
    </row>
    <row r="19" spans="1:5">
      <c r="A19" s="28"/>
      <c r="B19" s="28"/>
      <c r="C19" s="28"/>
      <c r="D19" s="42"/>
      <c r="E19" s="28"/>
    </row>
    <row r="20" spans="1:5">
      <c r="A20" s="28"/>
      <c r="B20" s="28"/>
      <c r="C20" s="28"/>
      <c r="D20" s="42"/>
      <c r="E20" s="28"/>
    </row>
    <row r="21" spans="1:5">
      <c r="A21" s="28"/>
      <c r="B21" s="28"/>
      <c r="C21" s="28"/>
      <c r="D21" s="42"/>
      <c r="E21" s="28"/>
    </row>
    <row r="22" spans="1:5">
      <c r="A22" s="28"/>
      <c r="B22" s="28"/>
      <c r="C22" s="28"/>
      <c r="D22" s="42"/>
      <c r="E22" s="28"/>
    </row>
    <row r="23" spans="1:5">
      <c r="A23" s="28"/>
      <c r="B23" s="28"/>
      <c r="C23" s="28"/>
      <c r="D23" s="42"/>
      <c r="E23" s="28"/>
    </row>
    <row r="24" spans="1:5">
      <c r="A24" s="28"/>
      <c r="B24" s="28"/>
      <c r="C24" s="28"/>
      <c r="D24" s="42"/>
      <c r="E24" s="28"/>
    </row>
  </sheetData>
  <mergeCells count="2">
    <mergeCell ref="A1:E1"/>
    <mergeCell ref="A2:E2"/>
  </mergeCells>
  <dataValidations count="1">
    <dataValidation type="list" sqref="A5:A24">
      <formula1>"building.player_home,building.residential_house,building.lumber_cabin,building.fishing_hut,building.farm_field,building.market,building.warehouse,building.road,building.tree"</formula1>
    </dataValidation>
  </dataValidation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showGridLines="0" workbookViewId="0">
      <selection activeCell="A1" sqref="A1:E1"/>
    </sheetView>
  </sheetViews>
  <sheetFormatPr defaultColWidth="9" defaultRowHeight="14.25" outlineLevelCol="4"/>
  <cols>
    <col min="1" max="1" width="28" style="25" customWidth="1"/>
    <col min="2" max="2" width="24" style="25" customWidth="1"/>
    <col min="3" max="3" width="16" style="25" customWidth="1"/>
    <col min="4" max="4" width="10" style="25" customWidth="1"/>
    <col min="5" max="5" width="38" style="25" customWidth="1"/>
  </cols>
  <sheetData>
    <row r="1" s="25" customFormat="1" ht="30" customHeight="1" spans="1:5">
      <c r="A1" s="26" t="s">
        <v>324</v>
      </c>
    </row>
    <row r="2" s="25" customFormat="1" ht="38" customHeight="1" spans="1:5">
      <c r="A2" s="27" t="s">
        <v>325</v>
      </c>
    </row>
    <row r="3" spans="1:5">
      <c r="A3" s="28"/>
      <c r="B3" s="28"/>
      <c r="C3" s="28"/>
      <c r="D3" s="28"/>
      <c r="E3" s="28"/>
    </row>
    <row r="4" s="25" customFormat="1" ht="30" customHeight="1" spans="1:5">
      <c r="A4" s="29" t="s">
        <v>35</v>
      </c>
      <c r="B4" s="30" t="s">
        <v>316</v>
      </c>
      <c r="C4" s="30" t="s">
        <v>16</v>
      </c>
      <c r="D4" s="30" t="s">
        <v>126</v>
      </c>
      <c r="E4" s="31" t="s">
        <v>53</v>
      </c>
    </row>
    <row r="5" spans="1:5">
      <c r="A5" s="28" t="s">
        <v>78</v>
      </c>
      <c r="B5" s="28" t="s">
        <v>318</v>
      </c>
      <c r="C5" s="28" t="s">
        <v>319</v>
      </c>
      <c r="D5" s="42">
        <v>1</v>
      </c>
      <c r="E5" s="28" t="s">
        <v>326</v>
      </c>
    </row>
    <row r="6" spans="1:5">
      <c r="A6" s="28" t="s">
        <v>78</v>
      </c>
      <c r="B6" s="28" t="s">
        <v>321</v>
      </c>
      <c r="C6" s="28" t="s">
        <v>322</v>
      </c>
      <c r="D6" s="42">
        <v>1</v>
      </c>
      <c r="E6" s="28" t="s">
        <v>327</v>
      </c>
    </row>
    <row r="7" spans="1:5">
      <c r="A7" s="28"/>
      <c r="B7" s="28"/>
      <c r="C7" s="28"/>
      <c r="D7" s="42"/>
      <c r="E7" s="28"/>
    </row>
    <row r="8" spans="1:5">
      <c r="A8" s="28"/>
      <c r="B8" s="28"/>
      <c r="C8" s="28"/>
      <c r="D8" s="42"/>
      <c r="E8" s="28"/>
    </row>
    <row r="9" spans="1:5">
      <c r="A9" s="28"/>
      <c r="B9" s="28"/>
      <c r="C9" s="28"/>
      <c r="D9" s="42"/>
      <c r="E9" s="28"/>
    </row>
    <row r="10" spans="1:5">
      <c r="A10" s="28"/>
      <c r="B10" s="28"/>
      <c r="C10" s="28"/>
      <c r="D10" s="42"/>
      <c r="E10" s="28"/>
    </row>
    <row r="11" spans="1:5">
      <c r="A11" s="28"/>
      <c r="B11" s="28"/>
      <c r="C11" s="28"/>
      <c r="D11" s="42"/>
      <c r="E11" s="28"/>
    </row>
    <row r="12" spans="1:5">
      <c r="A12" s="28"/>
      <c r="B12" s="28"/>
      <c r="C12" s="28"/>
      <c r="D12" s="42"/>
      <c r="E12" s="28"/>
    </row>
    <row r="13" spans="1:5">
      <c r="A13" s="28"/>
      <c r="B13" s="28"/>
      <c r="C13" s="28"/>
      <c r="D13" s="42"/>
      <c r="E13" s="28"/>
    </row>
    <row r="14" spans="1:5">
      <c r="A14" s="28"/>
      <c r="B14" s="28"/>
      <c r="C14" s="28"/>
      <c r="D14" s="42"/>
      <c r="E14" s="28"/>
    </row>
    <row r="15" spans="1:5">
      <c r="A15" s="28"/>
      <c r="B15" s="28"/>
      <c r="C15" s="28"/>
      <c r="D15" s="42"/>
      <c r="E15" s="28"/>
    </row>
    <row r="16" spans="1:5">
      <c r="A16" s="28"/>
      <c r="B16" s="28"/>
      <c r="C16" s="28"/>
      <c r="D16" s="42"/>
      <c r="E16" s="28"/>
    </row>
    <row r="17" spans="1:5">
      <c r="A17" s="28"/>
      <c r="B17" s="28"/>
      <c r="C17" s="28"/>
      <c r="D17" s="42"/>
      <c r="E17" s="28"/>
    </row>
    <row r="18" spans="1:5">
      <c r="A18" s="28"/>
      <c r="B18" s="28"/>
      <c r="C18" s="28"/>
      <c r="D18" s="42"/>
      <c r="E18" s="28"/>
    </row>
    <row r="19" spans="1:5">
      <c r="A19" s="28"/>
      <c r="B19" s="28"/>
      <c r="C19" s="28"/>
      <c r="D19" s="42"/>
      <c r="E19" s="28"/>
    </row>
    <row r="20" spans="1:5">
      <c r="A20" s="28"/>
      <c r="B20" s="28"/>
      <c r="C20" s="28"/>
      <c r="D20" s="42"/>
      <c r="E20" s="28"/>
    </row>
    <row r="21" spans="1:5">
      <c r="A21" s="28"/>
      <c r="B21" s="28"/>
      <c r="C21" s="28"/>
      <c r="D21" s="42"/>
      <c r="E21" s="28"/>
    </row>
    <row r="22" spans="1:5">
      <c r="A22" s="28"/>
      <c r="B22" s="28"/>
      <c r="C22" s="28"/>
      <c r="D22" s="42"/>
      <c r="E22" s="28"/>
    </row>
    <row r="23" spans="1:5">
      <c r="A23" s="28"/>
      <c r="B23" s="28"/>
      <c r="C23" s="28"/>
      <c r="D23" s="42"/>
      <c r="E23" s="28"/>
    </row>
    <row r="24" spans="1:5">
      <c r="A24" s="28"/>
      <c r="B24" s="28"/>
      <c r="C24" s="28"/>
      <c r="D24" s="42"/>
      <c r="E24" s="28"/>
    </row>
  </sheetData>
  <mergeCells count="2">
    <mergeCell ref="A1:E1"/>
    <mergeCell ref="A2:E2"/>
  </mergeCells>
  <dataValidations count="2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C5:C24">
      <formula1>"金币,泥土,石头,原木,木板,树苗,蔬菜,鱼,黄金鱼"</formula1>
    </dataValidation>
  </dataValidation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showGridLines="0" workbookViewId="0">
      <selection activeCell="A1" sqref="A1:F1"/>
    </sheetView>
  </sheetViews>
  <sheetFormatPr defaultColWidth="9" defaultRowHeight="14.25" outlineLevelCol="5"/>
  <cols>
    <col min="1" max="1" width="28" style="25" customWidth="1"/>
    <col min="2" max="2" width="24" style="25" customWidth="1"/>
    <col min="3" max="3" width="16" style="25" customWidth="1"/>
    <col min="4" max="5" width="12" style="25" customWidth="1"/>
    <col min="6" max="6" width="38" style="25" customWidth="1"/>
  </cols>
  <sheetData>
    <row r="1" s="25" customFormat="1" ht="30" customHeight="1" spans="1:6">
      <c r="A1" s="26" t="s">
        <v>328</v>
      </c>
    </row>
    <row r="2" s="25" customFormat="1" ht="38" customHeight="1" spans="1:6">
      <c r="A2" s="27" t="s">
        <v>329</v>
      </c>
    </row>
    <row r="3" spans="1:6">
      <c r="A3" s="28"/>
      <c r="B3" s="28"/>
      <c r="C3" s="28"/>
      <c r="D3" s="28"/>
      <c r="E3" s="28"/>
      <c r="F3" s="28"/>
    </row>
    <row r="4" s="25" customFormat="1" ht="30" customHeight="1" spans="1:6">
      <c r="A4" s="29" t="s">
        <v>35</v>
      </c>
      <c r="B4" s="30" t="s">
        <v>316</v>
      </c>
      <c r="C4" s="30" t="s">
        <v>16</v>
      </c>
      <c r="D4" s="30" t="s">
        <v>330</v>
      </c>
      <c r="E4" s="30" t="s">
        <v>331</v>
      </c>
      <c r="F4" s="31" t="s">
        <v>53</v>
      </c>
    </row>
    <row r="5" spans="1:6">
      <c r="A5" s="28" t="s">
        <v>78</v>
      </c>
      <c r="B5" s="28" t="s">
        <v>318</v>
      </c>
      <c r="C5" s="28" t="s">
        <v>319</v>
      </c>
      <c r="D5" s="42">
        <v>8</v>
      </c>
      <c r="E5" s="42">
        <v>12</v>
      </c>
      <c r="F5" s="28" t="s">
        <v>332</v>
      </c>
    </row>
    <row r="6" spans="1:6">
      <c r="A6" s="28" t="s">
        <v>78</v>
      </c>
      <c r="B6" s="28" t="s">
        <v>321</v>
      </c>
      <c r="C6" s="28" t="s">
        <v>322</v>
      </c>
      <c r="D6" s="42">
        <v>6</v>
      </c>
      <c r="E6" s="42">
        <v>10</v>
      </c>
      <c r="F6" s="28" t="s">
        <v>332</v>
      </c>
    </row>
    <row r="7" spans="1:6">
      <c r="A7" s="28"/>
      <c r="B7" s="28"/>
      <c r="C7" s="28"/>
      <c r="D7" s="42"/>
      <c r="E7" s="42"/>
      <c r="F7" s="28"/>
    </row>
    <row r="8" spans="1:6">
      <c r="A8" s="28"/>
      <c r="B8" s="28"/>
      <c r="C8" s="28"/>
      <c r="D8" s="42"/>
      <c r="E8" s="42"/>
      <c r="F8" s="28"/>
    </row>
    <row r="9" spans="1:6">
      <c r="A9" s="28"/>
      <c r="B9" s="28"/>
      <c r="C9" s="28"/>
      <c r="D9" s="42"/>
      <c r="E9" s="42"/>
      <c r="F9" s="28"/>
    </row>
    <row r="10" spans="1:6">
      <c r="A10" s="28"/>
      <c r="B10" s="28"/>
      <c r="C10" s="28"/>
      <c r="D10" s="42"/>
      <c r="E10" s="42"/>
      <c r="F10" s="28"/>
    </row>
    <row r="11" spans="1:6">
      <c r="A11" s="28"/>
      <c r="B11" s="28"/>
      <c r="C11" s="28"/>
      <c r="D11" s="42"/>
      <c r="E11" s="42"/>
      <c r="F11" s="28"/>
    </row>
    <row r="12" spans="1:6">
      <c r="A12" s="28"/>
      <c r="B12" s="28"/>
      <c r="C12" s="28"/>
      <c r="D12" s="42"/>
      <c r="E12" s="42"/>
      <c r="F12" s="28"/>
    </row>
    <row r="13" spans="1:6">
      <c r="A13" s="28"/>
      <c r="B13" s="28"/>
      <c r="C13" s="28"/>
      <c r="D13" s="42"/>
      <c r="E13" s="42"/>
      <c r="F13" s="28"/>
    </row>
    <row r="14" spans="1:6">
      <c r="A14" s="28"/>
      <c r="B14" s="28"/>
      <c r="C14" s="28"/>
      <c r="D14" s="42"/>
      <c r="E14" s="42"/>
      <c r="F14" s="28"/>
    </row>
    <row r="15" spans="1:6">
      <c r="A15" s="28"/>
      <c r="B15" s="28"/>
      <c r="C15" s="28"/>
      <c r="D15" s="42"/>
      <c r="E15" s="42"/>
      <c r="F15" s="28"/>
    </row>
    <row r="16" spans="1:6">
      <c r="A16" s="28"/>
      <c r="B16" s="28"/>
      <c r="C16" s="28"/>
      <c r="D16" s="42"/>
      <c r="E16" s="42"/>
      <c r="F16" s="28"/>
    </row>
    <row r="17" spans="1:6">
      <c r="A17" s="28"/>
      <c r="B17" s="28"/>
      <c r="C17" s="28"/>
      <c r="D17" s="42"/>
      <c r="E17" s="42"/>
      <c r="F17" s="28"/>
    </row>
    <row r="18" spans="1:6">
      <c r="A18" s="28"/>
      <c r="B18" s="28"/>
      <c r="C18" s="28"/>
      <c r="D18" s="42"/>
      <c r="E18" s="42"/>
      <c r="F18" s="28"/>
    </row>
    <row r="19" spans="1:6">
      <c r="A19" s="28"/>
      <c r="B19" s="28"/>
      <c r="C19" s="28"/>
      <c r="D19" s="42"/>
      <c r="E19" s="42"/>
      <c r="F19" s="28"/>
    </row>
    <row r="20" spans="1:6">
      <c r="A20" s="28"/>
      <c r="B20" s="28"/>
      <c r="C20" s="28"/>
      <c r="D20" s="42"/>
      <c r="E20" s="42"/>
      <c r="F20" s="28"/>
    </row>
    <row r="21" spans="1:6">
      <c r="A21" s="28"/>
      <c r="B21" s="28"/>
      <c r="C21" s="28"/>
      <c r="D21" s="42"/>
      <c r="E21" s="42"/>
      <c r="F21" s="28"/>
    </row>
    <row r="22" spans="1:6">
      <c r="A22" s="28"/>
      <c r="B22" s="28"/>
      <c r="C22" s="28"/>
      <c r="D22" s="42"/>
      <c r="E22" s="42"/>
      <c r="F22" s="28"/>
    </row>
    <row r="23" spans="1:6">
      <c r="A23" s="28"/>
      <c r="B23" s="28"/>
      <c r="C23" s="28"/>
      <c r="D23" s="42"/>
      <c r="E23" s="42"/>
      <c r="F23" s="28"/>
    </row>
    <row r="24" spans="1:6">
      <c r="A24" s="28"/>
      <c r="B24" s="28"/>
      <c r="C24" s="28"/>
      <c r="D24" s="42"/>
      <c r="E24" s="42"/>
      <c r="F24" s="28"/>
    </row>
  </sheetData>
  <mergeCells count="2">
    <mergeCell ref="A1:F1"/>
    <mergeCell ref="A2:F2"/>
  </mergeCells>
  <dataValidations count="2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C5:C24">
      <formula1>"金币,泥土,石头,原木,木板,树苗,蔬菜,鱼,黄金鱼"</formula1>
    </dataValidation>
  </dataValidation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showGridLines="0" workbookViewId="0">
      <selection activeCell="A1" sqref="A1:D1"/>
    </sheetView>
  </sheetViews>
  <sheetFormatPr defaultColWidth="9" defaultRowHeight="14.25" outlineLevelCol="3"/>
  <cols>
    <col min="1" max="1" width="28" style="25" customWidth="1"/>
    <col min="2" max="2" width="16" style="25" customWidth="1"/>
    <col min="3" max="3" width="10" style="25" customWidth="1"/>
    <col min="4" max="4" width="44" style="25" customWidth="1"/>
  </cols>
  <sheetData>
    <row r="1" s="25" customFormat="1" ht="30" customHeight="1" spans="1:4">
      <c r="A1" s="26" t="s">
        <v>333</v>
      </c>
    </row>
    <row r="2" s="25" customFormat="1" ht="38" customHeight="1" spans="1:4">
      <c r="A2" s="27" t="s">
        <v>334</v>
      </c>
    </row>
    <row r="3" spans="1:4">
      <c r="A3" s="28"/>
      <c r="B3" s="28"/>
      <c r="C3" s="28"/>
      <c r="D3" s="28"/>
    </row>
    <row r="4" s="25" customFormat="1" ht="30" customHeight="1" spans="1:4">
      <c r="A4" s="29" t="s">
        <v>35</v>
      </c>
      <c r="B4" s="30" t="s">
        <v>16</v>
      </c>
      <c r="C4" s="30" t="s">
        <v>126</v>
      </c>
      <c r="D4" s="31" t="s">
        <v>53</v>
      </c>
    </row>
    <row r="5" spans="1:4">
      <c r="A5" s="28"/>
      <c r="B5" s="28"/>
      <c r="C5" s="42"/>
      <c r="D5" s="28"/>
    </row>
    <row r="6" spans="1:4">
      <c r="A6" s="28"/>
      <c r="B6" s="28"/>
      <c r="C6" s="42"/>
      <c r="D6" s="28"/>
    </row>
    <row r="7" spans="1:4">
      <c r="A7" s="28"/>
      <c r="B7" s="28"/>
      <c r="C7" s="42"/>
      <c r="D7" s="28"/>
    </row>
    <row r="8" spans="1:4">
      <c r="A8" s="28"/>
      <c r="B8" s="28"/>
      <c r="C8" s="42"/>
      <c r="D8" s="28"/>
    </row>
    <row r="9" spans="1:4">
      <c r="A9" s="28"/>
      <c r="B9" s="28"/>
      <c r="C9" s="42"/>
      <c r="D9" s="28"/>
    </row>
    <row r="10" spans="1:4">
      <c r="A10" s="28"/>
      <c r="B10" s="28"/>
      <c r="C10" s="42"/>
      <c r="D10" s="28"/>
    </row>
    <row r="11" spans="1:4">
      <c r="A11" s="28"/>
      <c r="B11" s="28"/>
      <c r="C11" s="42"/>
      <c r="D11" s="28"/>
    </row>
    <row r="12" spans="1:4">
      <c r="A12" s="28"/>
      <c r="B12" s="28"/>
      <c r="C12" s="42"/>
      <c r="D12" s="28"/>
    </row>
    <row r="13" spans="1:4">
      <c r="A13" s="28"/>
      <c r="B13" s="28"/>
      <c r="C13" s="42"/>
      <c r="D13" s="28"/>
    </row>
    <row r="14" spans="1:4">
      <c r="A14" s="28"/>
      <c r="B14" s="28"/>
      <c r="C14" s="42"/>
      <c r="D14" s="28"/>
    </row>
    <row r="15" spans="1:4">
      <c r="A15" s="28"/>
      <c r="B15" s="28"/>
      <c r="C15" s="42"/>
      <c r="D15" s="28"/>
    </row>
    <row r="16" spans="1:4">
      <c r="A16" s="28"/>
      <c r="B16" s="28"/>
      <c r="C16" s="42"/>
      <c r="D16" s="28"/>
    </row>
    <row r="17" spans="1:4">
      <c r="A17" s="28"/>
      <c r="B17" s="28"/>
      <c r="C17" s="42"/>
      <c r="D17" s="28"/>
    </row>
    <row r="18" spans="1:4">
      <c r="A18" s="28"/>
      <c r="B18" s="28"/>
      <c r="C18" s="42"/>
      <c r="D18" s="28"/>
    </row>
    <row r="19" spans="1:4">
      <c r="A19" s="28"/>
      <c r="B19" s="28"/>
      <c r="C19" s="42"/>
      <c r="D19" s="28"/>
    </row>
    <row r="20" spans="1:4">
      <c r="A20" s="28"/>
      <c r="B20" s="28"/>
      <c r="C20" s="42"/>
      <c r="D20" s="28"/>
    </row>
    <row r="21" spans="1:4">
      <c r="A21" s="28"/>
      <c r="B21" s="28"/>
      <c r="C21" s="42"/>
      <c r="D21" s="28"/>
    </row>
    <row r="22" spans="1:4">
      <c r="A22" s="28"/>
      <c r="B22" s="28"/>
      <c r="C22" s="42"/>
      <c r="D22" s="28"/>
    </row>
    <row r="23" spans="1:4">
      <c r="A23" s="28"/>
      <c r="B23" s="28"/>
      <c r="C23" s="42"/>
      <c r="D23" s="28"/>
    </row>
    <row r="24" spans="1:4">
      <c r="A24" s="28"/>
      <c r="B24" s="28"/>
      <c r="C24" s="42"/>
      <c r="D24" s="28"/>
    </row>
  </sheetData>
  <mergeCells count="2">
    <mergeCell ref="A1:D1"/>
    <mergeCell ref="A2:D2"/>
  </mergeCells>
  <dataValidations count="2">
    <dataValidation type="list" sqref="A5:A24">
      <formula1>"building.player_home,building.residential_house,building.lumber_cabin,building.fishing_hut,building.farm_field,building.market,building.warehouse,building.road,building.tree"</formula1>
    </dataValidation>
    <dataValidation type="list" sqref="B5:B24">
      <formula1>"金币,泥土,石头,原木,木板,树苗,蔬菜,鱼,黄金鱼"</formula1>
    </dataValidation>
  </dataValidation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showGridLines="0" workbookViewId="0">
      <selection activeCell="A1" sqref="A1:F1"/>
    </sheetView>
  </sheetViews>
  <sheetFormatPr defaultColWidth="9" defaultRowHeight="14.25" outlineLevelCol="5"/>
  <cols>
    <col min="1" max="1" width="28" style="25" customWidth="1"/>
    <col min="2" max="2" width="15" style="25" customWidth="1"/>
    <col min="3" max="3" width="16" style="25" customWidth="1"/>
    <col min="4" max="4" width="44" style="25" customWidth="1"/>
    <col min="5" max="5" width="48" style="25" customWidth="1"/>
    <col min="6" max="6" width="14" style="25" customWidth="1"/>
  </cols>
  <sheetData>
    <row r="1" s="25" customFormat="1" ht="30" customHeight="1" spans="1:6">
      <c r="A1" s="26" t="s">
        <v>335</v>
      </c>
    </row>
    <row r="2" s="25" customFormat="1" ht="38" customHeight="1" spans="1:6">
      <c r="A2" s="27" t="s">
        <v>336</v>
      </c>
    </row>
    <row r="3" spans="1:6">
      <c r="A3" s="28"/>
      <c r="B3" s="28"/>
      <c r="C3" s="28"/>
      <c r="D3" s="28"/>
      <c r="E3" s="28"/>
      <c r="F3" s="28"/>
    </row>
    <row r="4" s="25" customFormat="1" ht="30" customHeight="1" spans="1:6">
      <c r="A4" s="29" t="s">
        <v>35</v>
      </c>
      <c r="B4" s="30" t="s">
        <v>337</v>
      </c>
      <c r="C4" s="30" t="s">
        <v>338</v>
      </c>
      <c r="D4" s="30" t="s">
        <v>339</v>
      </c>
      <c r="E4" s="30" t="s">
        <v>340</v>
      </c>
      <c r="F4" s="31" t="s">
        <v>341</v>
      </c>
    </row>
    <row r="5" spans="1:6">
      <c r="A5" s="32" t="s">
        <v>93</v>
      </c>
      <c r="B5" s="32" t="s">
        <v>342</v>
      </c>
      <c r="C5" s="32" t="s">
        <v>343</v>
      </c>
      <c r="D5" s="32" t="s">
        <v>344</v>
      </c>
      <c r="E5" s="32" t="s">
        <v>345</v>
      </c>
      <c r="F5" s="35" t="str">
        <f t="shared" ref="F5:F14" si="0">IF(OR(D5="",E5=""),"待回填","完整")</f>
        <v>完整</v>
      </c>
    </row>
    <row r="6" spans="1:6">
      <c r="A6" s="36" t="s">
        <v>93</v>
      </c>
      <c r="B6" s="36" t="s">
        <v>346</v>
      </c>
      <c r="C6" s="36" t="s">
        <v>347</v>
      </c>
      <c r="D6" s="36" t="s">
        <v>348</v>
      </c>
      <c r="E6" s="36" t="s">
        <v>349</v>
      </c>
      <c r="F6" s="39" t="str">
        <f t="shared" si="0"/>
        <v>完整</v>
      </c>
    </row>
    <row r="7" spans="1:6">
      <c r="A7" s="36" t="s">
        <v>93</v>
      </c>
      <c r="B7" s="36" t="s">
        <v>350</v>
      </c>
      <c r="C7" s="36" t="s">
        <v>351</v>
      </c>
      <c r="D7" s="36" t="s">
        <v>352</v>
      </c>
      <c r="E7" s="36" t="s">
        <v>353</v>
      </c>
      <c r="F7" s="39" t="str">
        <f t="shared" si="0"/>
        <v>完整</v>
      </c>
    </row>
    <row r="8" spans="1:6">
      <c r="A8" s="36" t="s">
        <v>93</v>
      </c>
      <c r="B8" s="36" t="s">
        <v>354</v>
      </c>
      <c r="C8" s="36" t="s">
        <v>355</v>
      </c>
      <c r="D8" s="36" t="s">
        <v>356</v>
      </c>
      <c r="E8" s="36" t="s">
        <v>357</v>
      </c>
      <c r="F8" s="39" t="str">
        <f t="shared" si="0"/>
        <v>完整</v>
      </c>
    </row>
    <row r="9" spans="1:6">
      <c r="A9" s="36" t="s">
        <v>93</v>
      </c>
      <c r="B9" s="36" t="s">
        <v>358</v>
      </c>
      <c r="C9" s="36" t="s">
        <v>359</v>
      </c>
      <c r="D9" s="36" t="s">
        <v>360</v>
      </c>
      <c r="E9" s="36" t="s">
        <v>361</v>
      </c>
      <c r="F9" s="39" t="str">
        <f t="shared" si="0"/>
        <v>完整</v>
      </c>
    </row>
    <row r="10" spans="1:6">
      <c r="A10" s="36" t="s">
        <v>93</v>
      </c>
      <c r="B10" s="36" t="s">
        <v>362</v>
      </c>
      <c r="C10" s="36" t="s">
        <v>363</v>
      </c>
      <c r="D10" s="36" t="s">
        <v>364</v>
      </c>
      <c r="E10" s="36" t="s">
        <v>365</v>
      </c>
      <c r="F10" s="39" t="str">
        <f t="shared" si="0"/>
        <v>完整</v>
      </c>
    </row>
    <row r="11" spans="1:6">
      <c r="A11" s="36" t="s">
        <v>93</v>
      </c>
      <c r="B11" s="36" t="s">
        <v>366</v>
      </c>
      <c r="C11" s="36" t="s">
        <v>367</v>
      </c>
      <c r="D11" s="36" t="s">
        <v>368</v>
      </c>
      <c r="E11" s="36" t="s">
        <v>369</v>
      </c>
      <c r="F11" s="39" t="str">
        <f t="shared" si="0"/>
        <v>完整</v>
      </c>
    </row>
    <row r="12" spans="1:6">
      <c r="A12" s="36" t="s">
        <v>93</v>
      </c>
      <c r="B12" s="36" t="s">
        <v>370</v>
      </c>
      <c r="C12" s="36" t="s">
        <v>371</v>
      </c>
      <c r="D12" s="36" t="s">
        <v>372</v>
      </c>
      <c r="E12" s="36" t="s">
        <v>373</v>
      </c>
      <c r="F12" s="39" t="str">
        <f t="shared" si="0"/>
        <v>完整</v>
      </c>
    </row>
    <row r="13" spans="1:6">
      <c r="A13" s="36" t="s">
        <v>97</v>
      </c>
      <c r="B13" s="36" t="s">
        <v>374</v>
      </c>
      <c r="C13" s="36" t="s">
        <v>375</v>
      </c>
      <c r="D13" s="36" t="s">
        <v>376</v>
      </c>
      <c r="E13" s="36" t="s">
        <v>377</v>
      </c>
      <c r="F13" s="39" t="str">
        <f t="shared" si="0"/>
        <v>完整</v>
      </c>
    </row>
    <row r="14" spans="1:6">
      <c r="A14" s="36" t="s">
        <v>97</v>
      </c>
      <c r="B14" s="36" t="s">
        <v>378</v>
      </c>
      <c r="C14" s="36" t="s">
        <v>379</v>
      </c>
      <c r="D14" s="36" t="s">
        <v>380</v>
      </c>
      <c r="E14" s="36" t="s">
        <v>381</v>
      </c>
      <c r="F14" s="39" t="str">
        <f t="shared" si="0"/>
        <v>完整</v>
      </c>
    </row>
  </sheetData>
  <mergeCells count="2">
    <mergeCell ref="A1:F1"/>
    <mergeCell ref="A2:F2"/>
  </mergeCells>
  <conditionalFormatting sqref="F5:F24">
    <cfRule type="containsText" dxfId="0" priority="1" operator="between" text="通过">
      <formula>NOT(ISERROR(SEARCH("通过",F5)))</formula>
    </cfRule>
    <cfRule type="containsText" dxfId="1" priority="2" operator="between" text="待">
      <formula>NOT(ISERROR(SEARCH("待",F5)))</formula>
    </cfRule>
    <cfRule type="containsText" dxfId="2" priority="3" operator="between" text="错误">
      <formula>NOT(ISERROR(SEARCH("错误",F5)))</formula>
    </cfRule>
  </conditionalFormatting>
  <dataValidations count="1">
    <dataValidation type="list" sqref="A5:A24">
      <formula1>"building.player_home,building.residential_house,building.lumber_cabin,building.fishing_hut,building.farm_field,building.market,building.warehouse,building.road,building.tree"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9"/>
  <sheetViews>
    <sheetView showGridLines="0" workbookViewId="0">
      <selection activeCell="A1" sqref="A1:E1"/>
    </sheetView>
  </sheetViews>
  <sheetFormatPr defaultColWidth="9" defaultRowHeight="14.25" outlineLevelCol="5"/>
  <cols>
    <col min="1" max="1" width="16" style="25" customWidth="1"/>
    <col min="2" max="2" width="34" style="25" customWidth="1"/>
    <col min="3" max="3" width="28" style="25" customWidth="1"/>
    <col min="4" max="4" width="40" style="25" customWidth="1"/>
    <col min="5" max="5" width="12" style="25" customWidth="1"/>
  </cols>
  <sheetData>
    <row r="1" s="25" customFormat="1" ht="30" customHeight="1" spans="1:5">
      <c r="A1" s="26" t="s">
        <v>382</v>
      </c>
    </row>
    <row r="2" s="25" customFormat="1" ht="38" customHeight="1" spans="1:5">
      <c r="A2" s="27" t="s">
        <v>383</v>
      </c>
    </row>
    <row r="3" spans="1:5">
      <c r="A3" s="28"/>
      <c r="B3" s="28"/>
      <c r="C3" s="28"/>
      <c r="D3" s="28"/>
      <c r="E3" s="28"/>
    </row>
    <row r="4" s="25" customFormat="1" ht="30" customHeight="1" spans="1:5">
      <c r="A4" s="29" t="s">
        <v>384</v>
      </c>
      <c r="B4" s="30" t="s">
        <v>385</v>
      </c>
      <c r="C4" s="30" t="s">
        <v>386</v>
      </c>
      <c r="D4" s="30" t="s">
        <v>387</v>
      </c>
      <c r="E4" s="31" t="s">
        <v>388</v>
      </c>
    </row>
    <row r="5" spans="1:5">
      <c r="A5" s="32" t="s">
        <v>389</v>
      </c>
      <c r="B5" s="32" t="s">
        <v>67</v>
      </c>
      <c r="C5" s="32" t="s">
        <v>390</v>
      </c>
      <c r="D5" s="32" t="s">
        <v>391</v>
      </c>
      <c r="E5" s="32" t="s">
        <v>61</v>
      </c>
    </row>
    <row r="6" spans="1:5">
      <c r="A6" s="36" t="s">
        <v>389</v>
      </c>
      <c r="B6" s="36" t="s">
        <v>76</v>
      </c>
      <c r="C6" s="36" t="s">
        <v>392</v>
      </c>
      <c r="D6" s="36" t="s">
        <v>393</v>
      </c>
      <c r="E6" s="36" t="s">
        <v>61</v>
      </c>
    </row>
    <row r="7" spans="1:5">
      <c r="A7" s="36" t="s">
        <v>389</v>
      </c>
      <c r="B7" s="36" t="s">
        <v>71</v>
      </c>
      <c r="C7" s="36" t="s">
        <v>394</v>
      </c>
      <c r="D7" s="36" t="s">
        <v>395</v>
      </c>
      <c r="E7" s="36" t="s">
        <v>61</v>
      </c>
    </row>
    <row r="8" spans="1:5">
      <c r="A8" s="36" t="s">
        <v>389</v>
      </c>
      <c r="B8" s="36" t="s">
        <v>83</v>
      </c>
      <c r="C8" s="36" t="s">
        <v>396</v>
      </c>
      <c r="D8" s="36" t="s">
        <v>397</v>
      </c>
      <c r="E8" s="36" t="s">
        <v>61</v>
      </c>
    </row>
    <row r="9" spans="1:5">
      <c r="A9" s="36" t="s">
        <v>389</v>
      </c>
      <c r="B9" s="36" t="s">
        <v>398</v>
      </c>
      <c r="C9" s="36" t="s">
        <v>399</v>
      </c>
      <c r="D9" s="36" t="s">
        <v>400</v>
      </c>
      <c r="E9" s="36" t="s">
        <v>61</v>
      </c>
    </row>
    <row r="10" spans="1:5">
      <c r="A10" s="36" t="s">
        <v>389</v>
      </c>
      <c r="B10" s="36" t="s">
        <v>58</v>
      </c>
      <c r="C10" s="36" t="s">
        <v>401</v>
      </c>
      <c r="D10" s="36" t="s">
        <v>402</v>
      </c>
      <c r="E10" s="36" t="s">
        <v>61</v>
      </c>
    </row>
    <row r="11" spans="1:5">
      <c r="A11" s="36" t="s">
        <v>389</v>
      </c>
      <c r="B11" s="36" t="s">
        <v>403</v>
      </c>
      <c r="C11" s="36" t="s">
        <v>404</v>
      </c>
      <c r="D11" s="36" t="s">
        <v>405</v>
      </c>
      <c r="E11" s="36" t="s">
        <v>61</v>
      </c>
    </row>
    <row r="12" spans="1:5">
      <c r="A12" s="36" t="s">
        <v>389</v>
      </c>
      <c r="B12" s="36" t="s">
        <v>91</v>
      </c>
      <c r="C12" s="36" t="s">
        <v>406</v>
      </c>
      <c r="D12" s="36" t="s">
        <v>407</v>
      </c>
      <c r="E12" s="36" t="s">
        <v>61</v>
      </c>
    </row>
    <row r="13" spans="1:5">
      <c r="A13" s="36" t="s">
        <v>389</v>
      </c>
      <c r="B13" s="36" t="s">
        <v>95</v>
      </c>
      <c r="C13" s="36" t="s">
        <v>408</v>
      </c>
      <c r="D13" s="36" t="s">
        <v>409</v>
      </c>
      <c r="E13" s="36" t="s">
        <v>61</v>
      </c>
    </row>
    <row r="14" spans="1:5">
      <c r="A14" s="36" t="s">
        <v>389</v>
      </c>
      <c r="B14" s="36" t="s">
        <v>410</v>
      </c>
      <c r="C14" s="36" t="s">
        <v>411</v>
      </c>
      <c r="D14" s="36" t="s">
        <v>412</v>
      </c>
      <c r="E14" s="36" t="s">
        <v>61</v>
      </c>
    </row>
    <row r="15" spans="1:5">
      <c r="A15" s="36" t="s">
        <v>413</v>
      </c>
      <c r="B15" s="36" t="s">
        <v>127</v>
      </c>
      <c r="C15" s="36" t="s">
        <v>127</v>
      </c>
      <c r="D15" s="36" t="s">
        <v>414</v>
      </c>
      <c r="E15" s="36" t="s">
        <v>61</v>
      </c>
    </row>
    <row r="16" spans="1:5">
      <c r="A16" s="36" t="s">
        <v>413</v>
      </c>
      <c r="B16" s="36" t="s">
        <v>137</v>
      </c>
      <c r="C16" s="36" t="s">
        <v>137</v>
      </c>
      <c r="D16" s="36" t="s">
        <v>414</v>
      </c>
      <c r="E16" s="36" t="s">
        <v>61</v>
      </c>
    </row>
    <row r="17" spans="1:5">
      <c r="A17" s="36" t="s">
        <v>413</v>
      </c>
      <c r="B17" s="36" t="s">
        <v>129</v>
      </c>
      <c r="C17" s="36" t="s">
        <v>129</v>
      </c>
      <c r="D17" s="36" t="s">
        <v>414</v>
      </c>
      <c r="E17" s="36" t="s">
        <v>61</v>
      </c>
    </row>
    <row r="18" spans="1:5">
      <c r="A18" s="36" t="s">
        <v>413</v>
      </c>
      <c r="B18" s="36" t="s">
        <v>130</v>
      </c>
      <c r="C18" s="36" t="s">
        <v>130</v>
      </c>
      <c r="D18" s="36" t="s">
        <v>414</v>
      </c>
      <c r="E18" s="36" t="s">
        <v>61</v>
      </c>
    </row>
    <row r="19" spans="1:5">
      <c r="A19" s="36" t="s">
        <v>413</v>
      </c>
      <c r="B19" s="36" t="s">
        <v>415</v>
      </c>
      <c r="C19" s="36" t="s">
        <v>415</v>
      </c>
      <c r="D19" s="36" t="s">
        <v>414</v>
      </c>
      <c r="E19" s="36" t="s">
        <v>61</v>
      </c>
    </row>
    <row r="20" spans="1:5">
      <c r="A20" s="36" t="s">
        <v>413</v>
      </c>
      <c r="B20" s="36" t="s">
        <v>132</v>
      </c>
      <c r="C20" s="36" t="s">
        <v>132</v>
      </c>
      <c r="D20" s="36" t="s">
        <v>414</v>
      </c>
      <c r="E20" s="36" t="s">
        <v>61</v>
      </c>
    </row>
    <row r="21" spans="1:5">
      <c r="A21" s="36" t="s">
        <v>413</v>
      </c>
      <c r="B21" s="36" t="s">
        <v>213</v>
      </c>
      <c r="C21" s="36" t="s">
        <v>213</v>
      </c>
      <c r="D21" s="36" t="s">
        <v>414</v>
      </c>
      <c r="E21" s="36" t="s">
        <v>61</v>
      </c>
    </row>
    <row r="22" spans="1:5">
      <c r="A22" s="36" t="s">
        <v>413</v>
      </c>
      <c r="B22" s="36" t="s">
        <v>232</v>
      </c>
      <c r="C22" s="36" t="s">
        <v>232</v>
      </c>
      <c r="D22" s="36" t="s">
        <v>414</v>
      </c>
      <c r="E22" s="36" t="s">
        <v>61</v>
      </c>
    </row>
    <row r="23" spans="1:5">
      <c r="A23" s="36" t="s">
        <v>413</v>
      </c>
      <c r="B23" s="36" t="s">
        <v>238</v>
      </c>
      <c r="C23" s="36" t="s">
        <v>238</v>
      </c>
      <c r="D23" s="36" t="s">
        <v>414</v>
      </c>
      <c r="E23" s="36" t="s">
        <v>61</v>
      </c>
    </row>
    <row r="24" spans="1:5">
      <c r="A24" s="36" t="s">
        <v>416</v>
      </c>
      <c r="B24" s="36" t="s">
        <v>64</v>
      </c>
      <c r="C24" s="36" t="s">
        <v>417</v>
      </c>
      <c r="D24" s="36" t="s">
        <v>418</v>
      </c>
      <c r="E24" s="36" t="s">
        <v>61</v>
      </c>
    </row>
    <row r="25" spans="1:5">
      <c r="A25" s="36" t="s">
        <v>416</v>
      </c>
      <c r="B25" s="36" t="s">
        <v>419</v>
      </c>
      <c r="C25" s="36" t="s">
        <v>420</v>
      </c>
      <c r="D25" s="36" t="s">
        <v>421</v>
      </c>
      <c r="E25" s="36" t="s">
        <v>61</v>
      </c>
    </row>
    <row r="26" spans="1:5">
      <c r="A26" s="36" t="s">
        <v>416</v>
      </c>
      <c r="B26" s="36" t="s">
        <v>73</v>
      </c>
      <c r="C26" s="36" t="s">
        <v>422</v>
      </c>
      <c r="D26" s="36" t="s">
        <v>423</v>
      </c>
      <c r="E26" s="36" t="s">
        <v>61</v>
      </c>
    </row>
    <row r="27" spans="1:5">
      <c r="A27" s="36" t="s">
        <v>424</v>
      </c>
      <c r="B27" s="36" t="s">
        <v>425</v>
      </c>
      <c r="C27" s="36" t="s">
        <v>426</v>
      </c>
      <c r="D27" s="36" t="s">
        <v>427</v>
      </c>
      <c r="E27" s="36" t="s">
        <v>61</v>
      </c>
    </row>
    <row r="28" spans="1:5">
      <c r="A28" s="36" t="s">
        <v>428</v>
      </c>
      <c r="B28" s="36" t="s">
        <v>283</v>
      </c>
      <c r="C28" s="36" t="s">
        <v>429</v>
      </c>
      <c r="D28" s="36" t="s">
        <v>430</v>
      </c>
      <c r="E28" s="36" t="s">
        <v>61</v>
      </c>
    </row>
    <row r="29" spans="1:5">
      <c r="A29" s="36" t="s">
        <v>428</v>
      </c>
      <c r="B29" s="36" t="s">
        <v>431</v>
      </c>
      <c r="C29" s="36" t="s">
        <v>432</v>
      </c>
      <c r="D29" s="36" t="s">
        <v>430</v>
      </c>
      <c r="E29" s="36" t="s">
        <v>61</v>
      </c>
    </row>
    <row r="30" spans="1:5">
      <c r="A30" s="36" t="s">
        <v>433</v>
      </c>
      <c r="B30" s="36" t="s">
        <v>284</v>
      </c>
      <c r="C30" s="36" t="s">
        <v>434</v>
      </c>
      <c r="D30" s="36" t="s">
        <v>435</v>
      </c>
      <c r="E30" s="36" t="s">
        <v>61</v>
      </c>
    </row>
    <row r="31" spans="1:5">
      <c r="A31" s="36" t="s">
        <v>433</v>
      </c>
      <c r="B31" s="36" t="s">
        <v>436</v>
      </c>
      <c r="C31" s="36" t="s">
        <v>437</v>
      </c>
      <c r="D31" s="36" t="s">
        <v>435</v>
      </c>
      <c r="E31" s="36" t="s">
        <v>61</v>
      </c>
    </row>
    <row r="32" spans="1:5">
      <c r="A32" s="36" t="s">
        <v>433</v>
      </c>
      <c r="B32" s="36" t="s">
        <v>438</v>
      </c>
      <c r="C32" s="36" t="s">
        <v>439</v>
      </c>
      <c r="D32" s="36" t="s">
        <v>435</v>
      </c>
      <c r="E32" s="36" t="s">
        <v>61</v>
      </c>
    </row>
    <row r="33" spans="1:5">
      <c r="A33" s="36" t="s">
        <v>440</v>
      </c>
      <c r="B33" s="36" t="s">
        <v>441</v>
      </c>
      <c r="C33" s="36" t="s">
        <v>442</v>
      </c>
      <c r="D33" s="36" t="s">
        <v>443</v>
      </c>
      <c r="E33" s="36" t="s">
        <v>61</v>
      </c>
    </row>
    <row r="34" spans="1:5">
      <c r="A34" s="36" t="s">
        <v>440</v>
      </c>
      <c r="B34" s="36" t="s">
        <v>444</v>
      </c>
      <c r="C34" s="36" t="s">
        <v>445</v>
      </c>
      <c r="D34" s="36" t="s">
        <v>443</v>
      </c>
      <c r="E34" s="36" t="s">
        <v>61</v>
      </c>
    </row>
    <row r="35" spans="1:5">
      <c r="A35" s="36" t="s">
        <v>440</v>
      </c>
      <c r="B35" s="36" t="s">
        <v>285</v>
      </c>
      <c r="C35" s="36" t="s">
        <v>446</v>
      </c>
      <c r="D35" s="36" t="s">
        <v>443</v>
      </c>
      <c r="E35" s="36" t="s">
        <v>61</v>
      </c>
    </row>
    <row r="36" spans="1:5">
      <c r="A36" s="36" t="s">
        <v>447</v>
      </c>
      <c r="B36" s="36" t="s">
        <v>337</v>
      </c>
      <c r="C36" s="36" t="s">
        <v>448</v>
      </c>
      <c r="D36" s="36" t="s">
        <v>449</v>
      </c>
      <c r="E36" s="36" t="s">
        <v>59</v>
      </c>
    </row>
    <row r="37" spans="1:5">
      <c r="A37" s="36" t="s">
        <v>447</v>
      </c>
      <c r="B37" s="36" t="s">
        <v>450</v>
      </c>
      <c r="C37" s="36" t="s">
        <v>451</v>
      </c>
      <c r="D37" s="36" t="s">
        <v>452</v>
      </c>
      <c r="E37" s="36" t="s">
        <v>59</v>
      </c>
    </row>
    <row r="38" spans="1:5">
      <c r="A38" s="36" t="s">
        <v>453</v>
      </c>
      <c r="B38" s="36" t="s">
        <v>454</v>
      </c>
      <c r="C38" s="36" t="s">
        <v>455</v>
      </c>
      <c r="D38" s="36" t="s">
        <v>456</v>
      </c>
      <c r="E38" s="36" t="s">
        <v>59</v>
      </c>
    </row>
    <row r="39" spans="1:5">
      <c r="A39" s="36" t="s">
        <v>453</v>
      </c>
      <c r="B39" s="36" t="s">
        <v>457</v>
      </c>
      <c r="C39" s="36" t="s">
        <v>458</v>
      </c>
      <c r="D39" s="36" t="s">
        <v>459</v>
      </c>
      <c r="E39" s="36" t="s">
        <v>59</v>
      </c>
    </row>
    <row r="40" spans="1:5">
      <c r="A40" t="s">
        <v>460</v>
      </c>
      <c r="B40" t="s">
        <v>54</v>
      </c>
      <c r="C40" t="s">
        <v>461</v>
      </c>
      <c r="D40" t="s">
        <v>462</v>
      </c>
      <c r="E40" t="s">
        <v>463</v>
      </c>
    </row>
    <row r="41" spans="1:5">
      <c r="A41" t="s">
        <v>460</v>
      </c>
      <c r="B41" t="s">
        <v>55</v>
      </c>
      <c r="C41" t="s">
        <v>464</v>
      </c>
      <c r="D41" t="s">
        <v>465</v>
      </c>
      <c r="E41" t="s">
        <v>466</v>
      </c>
    </row>
    <row r="42" spans="1:5">
      <c r="A42" t="s">
        <v>467</v>
      </c>
      <c r="B42" t="s">
        <v>126</v>
      </c>
      <c r="C42" t="s">
        <v>468</v>
      </c>
      <c r="D42" t="s">
        <v>469</v>
      </c>
      <c r="E42" t="s">
        <v>470</v>
      </c>
    </row>
    <row r="43" spans="1:5">
      <c r="A43" t="s">
        <v>471</v>
      </c>
      <c r="B43" t="s">
        <v>244</v>
      </c>
      <c r="C43" t="s">
        <v>468</v>
      </c>
      <c r="D43" t="s">
        <v>472</v>
      </c>
      <c r="E43" t="s">
        <v>473</v>
      </c>
    </row>
    <row r="44" spans="1:5">
      <c r="A44" t="s">
        <v>474</v>
      </c>
      <c r="B44" t="s">
        <v>475</v>
      </c>
      <c r="C44" t="s">
        <v>468</v>
      </c>
      <c r="D44" t="s">
        <v>469</v>
      </c>
      <c r="E44" t="s">
        <v>476</v>
      </c>
    </row>
    <row r="45" spans="1:5">
      <c r="A45" t="s">
        <v>416</v>
      </c>
      <c r="B45" t="s">
        <v>165</v>
      </c>
      <c r="C45" t="s">
        <v>477</v>
      </c>
      <c r="D45" t="s">
        <v>423</v>
      </c>
      <c r="E45" t="s">
        <v>61</v>
      </c>
    </row>
    <row r="46" spans="1:5">
      <c r="A46" t="s">
        <v>416</v>
      </c>
      <c r="B46" t="s">
        <v>167</v>
      </c>
      <c r="C46" t="s">
        <v>478</v>
      </c>
      <c r="D46" t="s">
        <v>423</v>
      </c>
      <c r="E46" t="s">
        <v>61</v>
      </c>
    </row>
    <row r="47" spans="1:5">
      <c r="A47" t="s">
        <v>424</v>
      </c>
      <c r="B47" t="s">
        <v>479</v>
      </c>
      <c r="C47" t="s">
        <v>480</v>
      </c>
      <c r="D47" t="s">
        <v>481</v>
      </c>
      <c r="E47" t="s">
        <v>61</v>
      </c>
    </row>
    <row r="48" spans="1:5">
      <c r="A48" t="s">
        <v>428</v>
      </c>
      <c r="B48" t="s">
        <v>290</v>
      </c>
      <c r="C48" t="s">
        <v>482</v>
      </c>
      <c r="D48" t="s">
        <v>483</v>
      </c>
      <c r="E48" t="s">
        <v>61</v>
      </c>
    </row>
    <row r="49" spans="1:6">
      <c r="A49" t="s">
        <v>484</v>
      </c>
      <c r="B49" t="s">
        <v>275</v>
      </c>
      <c r="C49" t="s">
        <v>485</v>
      </c>
      <c r="D49" t="s">
        <v>486</v>
      </c>
      <c r="E49" t="s">
        <v>61</v>
      </c>
    </row>
    <row r="50" spans="1:6">
      <c r="A50" t="s">
        <v>484</v>
      </c>
      <c r="B50" t="s">
        <v>236</v>
      </c>
      <c r="C50" t="s">
        <v>487</v>
      </c>
      <c r="D50" t="s">
        <v>488</v>
      </c>
      <c r="E50" t="s">
        <v>61</v>
      </c>
    </row>
    <row r="51" spans="1:6">
      <c r="A51" s="20" t="s">
        <v>416</v>
      </c>
      <c r="B51" s="20" t="s">
        <v>113</v>
      </c>
      <c r="C51" s="20" t="s">
        <v>489</v>
      </c>
      <c r="D51" s="20" t="s">
        <v>423</v>
      </c>
      <c r="E51" s="20" t="s">
        <v>61</v>
      </c>
    </row>
    <row r="52" spans="1:6">
      <c r="A52" s="20" t="s">
        <v>416</v>
      </c>
      <c r="B52" s="20" t="s">
        <v>169</v>
      </c>
      <c r="C52" s="20" t="s">
        <v>490</v>
      </c>
      <c r="D52" s="20" t="s">
        <v>423</v>
      </c>
      <c r="E52" s="20" t="s">
        <v>61</v>
      </c>
    </row>
    <row r="53" spans="1:6">
      <c r="A53" s="20" t="s">
        <v>416</v>
      </c>
      <c r="B53" s="20" t="s">
        <v>171</v>
      </c>
      <c r="C53" s="20" t="s">
        <v>491</v>
      </c>
      <c r="D53" s="20" t="s">
        <v>423</v>
      </c>
      <c r="E53" s="20" t="s">
        <v>61</v>
      </c>
    </row>
    <row r="54" ht="28.5" spans="1:6">
      <c r="A54" s="20" t="s">
        <v>428</v>
      </c>
      <c r="B54" s="20" t="s">
        <v>303</v>
      </c>
      <c r="C54" s="20" t="s">
        <v>492</v>
      </c>
      <c r="D54" s="20" t="s">
        <v>493</v>
      </c>
      <c r="E54" s="20" t="s">
        <v>61</v>
      </c>
    </row>
    <row r="55" ht="27.75" spans="1:6">
      <c r="A55" s="40" t="s">
        <v>494</v>
      </c>
      <c r="B55" s="40" t="s">
        <v>495</v>
      </c>
      <c r="C55" s="40" t="s">
        <v>496</v>
      </c>
      <c r="D55" s="40" t="s">
        <v>494</v>
      </c>
      <c r="E55" s="40" t="s">
        <v>61</v>
      </c>
    </row>
    <row r="56" ht="27" spans="1:6">
      <c r="A56" s="40" t="s">
        <v>497</v>
      </c>
      <c r="B56" s="40" t="s">
        <v>18</v>
      </c>
      <c r="C56" s="40" t="s">
        <v>498</v>
      </c>
      <c r="D56" s="40" t="s">
        <v>499</v>
      </c>
      <c r="E56" s="40" t="s">
        <v>61</v>
      </c>
    </row>
    <row r="57" spans="1:6">
      <c r="A57" s="40" t="s">
        <v>500</v>
      </c>
      <c r="B57" s="40" t="s">
        <v>251</v>
      </c>
      <c r="C57" s="40" t="s">
        <v>501</v>
      </c>
      <c r="D57" s="40" t="s">
        <v>502</v>
      </c>
      <c r="E57" s="40" t="s">
        <v>61</v>
      </c>
    </row>
    <row r="58" ht="27" spans="1:6">
      <c r="A58" s="40" t="s">
        <v>500</v>
      </c>
      <c r="B58" s="40" t="s">
        <v>252</v>
      </c>
      <c r="C58" s="40" t="s">
        <v>503</v>
      </c>
      <c r="D58" s="40" t="s">
        <v>504</v>
      </c>
      <c r="E58" s="40" t="s">
        <v>61</v>
      </c>
    </row>
    <row r="59" spans="1:6">
      <c r="A59" s="40" t="s">
        <v>505</v>
      </c>
      <c r="B59" s="40" t="s">
        <v>506</v>
      </c>
      <c r="C59" s="40" t="s">
        <v>507</v>
      </c>
      <c r="D59" s="40" t="s">
        <v>508</v>
      </c>
      <c r="E59" s="40" t="s">
        <v>61</v>
      </c>
    </row>
    <row r="60" ht="27.75" spans="1:6">
      <c r="A60" s="40" t="s">
        <v>509</v>
      </c>
      <c r="B60" s="40" t="s">
        <v>510</v>
      </c>
      <c r="C60" s="40" t="s">
        <v>511</v>
      </c>
      <c r="D60" s="40" t="s">
        <v>512</v>
      </c>
      <c r="E60" s="40" t="s">
        <v>61</v>
      </c>
    </row>
    <row r="61" ht="54.75" spans="1:6">
      <c r="A61" s="41" t="s">
        <v>513</v>
      </c>
      <c r="B61" s="41" t="s">
        <v>514</v>
      </c>
      <c r="C61" s="41" t="s">
        <v>515</v>
      </c>
      <c r="D61" s="41" t="s">
        <v>516</v>
      </c>
      <c r="E61" s="41" t="s">
        <v>61</v>
      </c>
      <c r="F61" s="41" t="s">
        <v>517</v>
      </c>
    </row>
    <row r="62" ht="57" spans="1:6">
      <c r="A62" s="41" t="s">
        <v>513</v>
      </c>
      <c r="B62" s="41" t="s">
        <v>149</v>
      </c>
      <c r="C62" s="41" t="s">
        <v>518</v>
      </c>
      <c r="D62" s="41" t="s">
        <v>423</v>
      </c>
      <c r="E62" s="41" t="s">
        <v>61</v>
      </c>
      <c r="F62" s="41" t="s">
        <v>519</v>
      </c>
    </row>
    <row r="63" ht="56.25" spans="1:6">
      <c r="A63" s="41" t="s">
        <v>513</v>
      </c>
      <c r="B63" s="41" t="s">
        <v>520</v>
      </c>
      <c r="C63" s="41" t="s">
        <v>521</v>
      </c>
      <c r="D63" s="41" t="s">
        <v>522</v>
      </c>
      <c r="E63" s="41" t="s">
        <v>61</v>
      </c>
      <c r="F63" s="41" t="s">
        <v>523</v>
      </c>
    </row>
    <row r="64" ht="28.5" spans="1:6">
      <c r="A64" s="41" t="s">
        <v>513</v>
      </c>
      <c r="B64" s="41" t="s">
        <v>272</v>
      </c>
      <c r="C64" s="41" t="s">
        <v>524</v>
      </c>
      <c r="D64" s="41" t="s">
        <v>525</v>
      </c>
      <c r="E64" s="41" t="s">
        <v>61</v>
      </c>
      <c r="F64" s="41" t="s">
        <v>526</v>
      </c>
    </row>
    <row r="65" spans="1:6">
      <c r="A65" t="s">
        <v>527</v>
      </c>
      <c r="B65" t="s">
        <v>528</v>
      </c>
      <c r="C65" t="s">
        <v>529</v>
      </c>
      <c r="D65" t="s">
        <v>530</v>
      </c>
      <c r="E65" t="s">
        <v>61</v>
      </c>
      <c r="F65" t="s">
        <v>531</v>
      </c>
    </row>
    <row r="66" spans="1:6">
      <c r="A66" t="s">
        <v>532</v>
      </c>
      <c r="B66" t="s">
        <v>533</v>
      </c>
      <c r="C66" t="s">
        <v>534</v>
      </c>
      <c r="D66" t="s">
        <v>535</v>
      </c>
      <c r="E66" t="s">
        <v>61</v>
      </c>
      <c r="F66" t="s">
        <v>469</v>
      </c>
    </row>
    <row r="67" spans="1:6">
      <c r="A67" t="s">
        <v>532</v>
      </c>
      <c r="B67" t="s">
        <v>536</v>
      </c>
      <c r="C67" t="s">
        <v>537</v>
      </c>
      <c r="D67" t="s">
        <v>538</v>
      </c>
      <c r="E67" t="s">
        <v>61</v>
      </c>
      <c r="F67" t="s">
        <v>469</v>
      </c>
    </row>
    <row r="68" spans="1:6">
      <c r="A68" t="s">
        <v>413</v>
      </c>
      <c r="B68" t="s">
        <v>319</v>
      </c>
      <c r="C68" t="s">
        <v>319</v>
      </c>
      <c r="D68" t="s">
        <v>414</v>
      </c>
      <c r="E68" t="s">
        <v>61</v>
      </c>
    </row>
    <row r="69" spans="1:6">
      <c r="A69" t="s">
        <v>413</v>
      </c>
      <c r="B69" t="s">
        <v>322</v>
      </c>
      <c r="C69" t="s">
        <v>322</v>
      </c>
      <c r="D69" t="s">
        <v>414</v>
      </c>
      <c r="E69" t="s">
        <v>61</v>
      </c>
    </row>
  </sheetData>
  <mergeCells count="2">
    <mergeCell ref="A1:E1"/>
    <mergeCell ref="A2:E2"/>
  </mergeCells>
  <pageMargins left="0.7" right="0.7" top="0.75" bottom="0.75" header="0.3" footer="0.3"/>
  <headerFooter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showGridLines="0" workbookViewId="0">
      <selection activeCell="A1" sqref="A1:E1"/>
    </sheetView>
  </sheetViews>
  <sheetFormatPr defaultColWidth="9" defaultRowHeight="14.25" outlineLevelCol="4"/>
  <cols>
    <col min="1" max="1" width="28" style="25" customWidth="1"/>
    <col min="2" max="2" width="16" style="25" customWidth="1"/>
    <col min="3" max="4" width="18" style="25" customWidth="1"/>
    <col min="5" max="5" width="48" style="25" customWidth="1"/>
  </cols>
  <sheetData>
    <row r="1" s="25" customFormat="1" ht="30" customHeight="1" spans="1:5">
      <c r="A1" s="26" t="s">
        <v>539</v>
      </c>
    </row>
    <row r="2" s="25" customFormat="1" ht="38" customHeight="1" spans="1:5">
      <c r="A2" s="27" t="s">
        <v>540</v>
      </c>
    </row>
    <row r="3" spans="1:5">
      <c r="A3" s="28"/>
      <c r="B3" s="28"/>
      <c r="C3" s="28"/>
      <c r="D3" s="28"/>
      <c r="E3" s="28"/>
    </row>
    <row r="4" s="25" customFormat="1" ht="30" customHeight="1" spans="1:5">
      <c r="A4" s="29" t="s">
        <v>541</v>
      </c>
      <c r="B4" s="30" t="s">
        <v>542</v>
      </c>
      <c r="C4" s="30" t="s">
        <v>543</v>
      </c>
      <c r="D4" s="30" t="s">
        <v>544</v>
      </c>
      <c r="E4" s="31" t="s">
        <v>53</v>
      </c>
    </row>
    <row r="5" spans="1:5">
      <c r="A5" s="32" t="s">
        <v>545</v>
      </c>
      <c r="B5" s="33">
        <f>COUNTA(建筑家族!A5:A200)</f>
        <v>16</v>
      </c>
      <c r="C5" s="34">
        <v>16</v>
      </c>
      <c r="D5" s="35" t="str">
        <f t="shared" ref="D5:D13" si="0">IF(B5=C5,"通过","待检查")</f>
        <v>通过</v>
      </c>
      <c r="E5" s="32" t="s">
        <v>546</v>
      </c>
    </row>
    <row r="6" spans="1:5">
      <c r="A6" s="36" t="s">
        <v>547</v>
      </c>
      <c r="B6" s="37">
        <f>COUNTA(运营等级!A5:A200)</f>
        <v>34</v>
      </c>
      <c r="C6" s="38">
        <v>34</v>
      </c>
      <c r="D6" s="39" t="str">
        <f t="shared" si="0"/>
        <v>通过</v>
      </c>
      <c r="E6" s="36" t="s">
        <v>548</v>
      </c>
    </row>
    <row r="7" spans="1:5">
      <c r="A7" s="36" t="s">
        <v>549</v>
      </c>
      <c r="B7" s="37">
        <f>COUNTA(等级_生产!A5:A200)</f>
        <v>24</v>
      </c>
      <c r="C7" s="38">
        <v>24</v>
      </c>
      <c r="D7" s="39" t="str">
        <f t="shared" si="0"/>
        <v>通过</v>
      </c>
      <c r="E7" s="36" t="s">
        <v>550</v>
      </c>
    </row>
    <row r="8" spans="1:5">
      <c r="A8" s="36" t="s">
        <v>551</v>
      </c>
      <c r="B8" s="37">
        <f>COUNTA(模块_范围效果!A5:A200)</f>
        <v>14</v>
      </c>
      <c r="C8" s="38">
        <v>14</v>
      </c>
      <c r="D8" s="39" t="str">
        <f t="shared" si="0"/>
        <v>通过</v>
      </c>
      <c r="E8" s="36" t="s">
        <v>552</v>
      </c>
    </row>
    <row r="9" spans="1:5">
      <c r="A9" s="36" t="s">
        <v>553</v>
      </c>
      <c r="B9" s="37">
        <f>COUNTA(等级_仓库!A5:A200)</f>
        <v>6</v>
      </c>
      <c r="C9" s="38">
        <v>6</v>
      </c>
      <c r="D9" s="39" t="str">
        <f t="shared" si="0"/>
        <v>通过</v>
      </c>
      <c r="E9" s="36" t="s">
        <v>554</v>
      </c>
    </row>
    <row r="10" spans="1:5">
      <c r="A10" s="36" t="s">
        <v>555</v>
      </c>
      <c r="B10" s="37">
        <f>COUNTA(等级_运营经验!A5:A200)</f>
        <v>6</v>
      </c>
      <c r="C10" s="38">
        <v>6</v>
      </c>
      <c r="D10" s="39" t="str">
        <f t="shared" si="0"/>
        <v>通过</v>
      </c>
      <c r="E10" s="36" t="s">
        <v>556</v>
      </c>
    </row>
    <row r="11" spans="1:5">
      <c r="A11" s="36" t="s">
        <v>557</v>
      </c>
      <c r="B11" s="37">
        <f>COUNTIF(视觉样式!F5:F200,"待回填")</f>
        <v>0</v>
      </c>
      <c r="C11" s="38">
        <v>0</v>
      </c>
      <c r="D11" s="39" t="str">
        <f t="shared" si="0"/>
        <v>通过</v>
      </c>
      <c r="E11" s="36" t="s">
        <v>558</v>
      </c>
    </row>
    <row r="12" spans="1:5">
      <c r="A12" t="s">
        <v>559</v>
      </c>
      <c r="B12">
        <f>COUNTA(模块_有限采集!A5:A200)</f>
        <v>2</v>
      </c>
      <c r="C12">
        <v>2</v>
      </c>
      <c r="D12" t="str">
        <f t="shared" si="0"/>
        <v>通过</v>
      </c>
      <c r="E12" t="s">
        <v>560</v>
      </c>
    </row>
    <row r="13" spans="1:5">
      <c r="A13" t="s">
        <v>2</v>
      </c>
      <c r="B13">
        <f>说明!B4</f>
        <v>10</v>
      </c>
      <c r="C13">
        <v>10</v>
      </c>
      <c r="D13" t="str">
        <f t="shared" si="0"/>
        <v>通过</v>
      </c>
      <c r="E13" t="s">
        <v>561</v>
      </c>
    </row>
  </sheetData>
  <mergeCells count="2">
    <mergeCell ref="A1:E1"/>
    <mergeCell ref="A2:E2"/>
  </mergeCells>
  <conditionalFormatting sqref="D5:D11">
    <cfRule type="containsText" dxfId="0" priority="1" operator="between" text="通过">
      <formula>NOT(ISERROR(SEARCH("通过",D5)))</formula>
    </cfRule>
    <cfRule type="containsText" dxfId="1" priority="2" operator="between" text="待">
      <formula>NOT(ISERROR(SEARCH("待",D5)))</formula>
    </cfRule>
    <cfRule type="containsText" dxfId="2" priority="3" operator="between" text="错误">
      <formula>NOT(ISERROR(SEARCH("错误",D5)))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workbookViewId="0">
      <selection activeCell="A1" sqref="A1:E1"/>
    </sheetView>
  </sheetViews>
  <sheetFormatPr defaultColWidth="9" defaultRowHeight="14.25" outlineLevelRow="6" outlineLevelCol="4"/>
  <cols>
    <col min="1" max="1" width="24" customWidth="1"/>
    <col min="2" max="2" width="12" customWidth="1"/>
    <col min="3" max="3" width="16" customWidth="1"/>
    <col min="4" max="4" width="10" customWidth="1"/>
    <col min="5" max="5" width="38" customWidth="1"/>
  </cols>
  <sheetData>
    <row r="1" ht="19.2" customHeight="1" spans="1:5">
      <c r="A1" s="22" t="s">
        <v>562</v>
      </c>
      <c r="B1" s="22"/>
      <c r="C1" s="22"/>
      <c r="D1" s="22"/>
      <c r="E1" s="22"/>
    </row>
    <row r="2" ht="15" customHeight="1" spans="1:5">
      <c r="A2" s="9" t="s">
        <v>563</v>
      </c>
      <c r="B2" s="9"/>
      <c r="C2" s="9"/>
      <c r="D2" s="9"/>
      <c r="E2" s="9"/>
    </row>
    <row r="3" ht="15" customHeight="1"/>
    <row r="4" ht="15" customHeight="1" spans="1:5">
      <c r="A4" s="23" t="s">
        <v>35</v>
      </c>
      <c r="B4" s="23" t="s">
        <v>136</v>
      </c>
      <c r="C4" s="23" t="s">
        <v>16</v>
      </c>
      <c r="D4" s="23" t="s">
        <v>126</v>
      </c>
      <c r="E4" s="23" t="s">
        <v>53</v>
      </c>
    </row>
    <row r="5" ht="15" customHeight="1" spans="1:5">
      <c r="A5" s="24" t="s">
        <v>101</v>
      </c>
      <c r="B5" s="24">
        <v>1</v>
      </c>
      <c r="C5" s="24" t="s">
        <v>137</v>
      </c>
      <c r="D5" s="24">
        <v>10</v>
      </c>
      <c r="E5" s="24" t="s">
        <v>564</v>
      </c>
    </row>
    <row r="6" ht="15" customHeight="1" spans="1:5">
      <c r="A6" s="24" t="s">
        <v>101</v>
      </c>
      <c r="B6" s="24">
        <v>1</v>
      </c>
      <c r="C6" s="24" t="s">
        <v>129</v>
      </c>
      <c r="D6" s="24">
        <v>20</v>
      </c>
      <c r="E6" s="24" t="s">
        <v>564</v>
      </c>
    </row>
    <row r="7" ht="15" customHeight="1" spans="1:5">
      <c r="A7" s="24" t="s">
        <v>101</v>
      </c>
      <c r="B7" s="24">
        <v>3</v>
      </c>
      <c r="C7" s="24" t="s">
        <v>129</v>
      </c>
      <c r="D7" s="24">
        <v>100</v>
      </c>
      <c r="E7" s="24" t="s">
        <v>565</v>
      </c>
    </row>
  </sheetData>
  <mergeCells count="2">
    <mergeCell ref="A1:E1"/>
    <mergeCell ref="A2:E2"/>
  </mergeCells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workbookViewId="0">
      <selection activeCell="A1" sqref="A1:E1"/>
    </sheetView>
  </sheetViews>
  <sheetFormatPr defaultColWidth="9" defaultRowHeight="14.25" outlineLevelCol="4"/>
  <cols>
    <col min="1" max="1" width="24" customWidth="1"/>
    <col min="2" max="2" width="9" customWidth="1"/>
    <col min="3" max="3" width="20" customWidth="1"/>
    <col min="4" max="4" width="14" customWidth="1"/>
    <col min="5" max="5" width="34" customWidth="1"/>
  </cols>
  <sheetData>
    <row r="1" ht="19.2" customHeight="1" spans="1:5">
      <c r="A1" s="22" t="s">
        <v>566</v>
      </c>
      <c r="B1" s="22"/>
      <c r="C1" s="22"/>
      <c r="D1" s="22"/>
      <c r="E1" s="22"/>
    </row>
    <row r="2" ht="15" customHeight="1" spans="1:5">
      <c r="A2" s="9" t="s">
        <v>567</v>
      </c>
      <c r="B2" s="9"/>
      <c r="C2" s="9"/>
      <c r="D2" s="9"/>
      <c r="E2" s="9"/>
    </row>
    <row r="3" ht="15" customHeight="1"/>
    <row r="4" ht="15" customHeight="1" spans="1:5">
      <c r="A4" s="23" t="s">
        <v>35</v>
      </c>
      <c r="B4" s="23" t="s">
        <v>147</v>
      </c>
      <c r="C4" s="23" t="s">
        <v>243</v>
      </c>
      <c r="D4" s="23" t="s">
        <v>244</v>
      </c>
      <c r="E4" s="23" t="s">
        <v>53</v>
      </c>
    </row>
    <row r="5" ht="15" customHeight="1" spans="1:5">
      <c r="A5" s="24" t="s">
        <v>101</v>
      </c>
      <c r="B5" s="24">
        <v>1</v>
      </c>
      <c r="C5" s="24" t="s">
        <v>127</v>
      </c>
      <c r="D5" s="24">
        <v>3</v>
      </c>
      <c r="E5" s="24" t="s">
        <v>568</v>
      </c>
    </row>
    <row r="6" ht="15" customHeight="1" spans="1:5">
      <c r="A6" s="24" t="s">
        <v>101</v>
      </c>
      <c r="B6" s="24">
        <v>2</v>
      </c>
      <c r="C6" s="24" t="s">
        <v>127</v>
      </c>
      <c r="D6" s="24">
        <v>5</v>
      </c>
      <c r="E6" s="24" t="s">
        <v>568</v>
      </c>
    </row>
    <row r="7" ht="15" customHeight="1" spans="1:5">
      <c r="A7" s="24" t="s">
        <v>101</v>
      </c>
      <c r="B7" s="24">
        <v>3</v>
      </c>
      <c r="C7" s="24" t="s">
        <v>127</v>
      </c>
      <c r="D7" s="24">
        <v>10</v>
      </c>
      <c r="E7" s="24" t="s">
        <v>568</v>
      </c>
    </row>
    <row r="8" spans="1:5">
      <c r="A8" t="s">
        <v>106</v>
      </c>
      <c r="B8">
        <v>1</v>
      </c>
      <c r="C8" t="s">
        <v>127</v>
      </c>
      <c r="D8">
        <v>1</v>
      </c>
      <c r="E8" t="s">
        <v>569</v>
      </c>
    </row>
    <row r="9" spans="1:5">
      <c r="A9" t="s">
        <v>106</v>
      </c>
      <c r="B9">
        <v>2</v>
      </c>
      <c r="C9" t="s">
        <v>127</v>
      </c>
      <c r="D9">
        <v>3</v>
      </c>
      <c r="E9" t="s">
        <v>569</v>
      </c>
    </row>
    <row r="10" spans="1:5">
      <c r="A10" t="s">
        <v>106</v>
      </c>
      <c r="B10">
        <v>3</v>
      </c>
      <c r="C10" t="s">
        <v>127</v>
      </c>
      <c r="D10">
        <v>6</v>
      </c>
      <c r="E10" t="s">
        <v>570</v>
      </c>
    </row>
    <row r="11" spans="1:5">
      <c r="A11" s="20" t="s">
        <v>110</v>
      </c>
      <c r="B11" s="20">
        <v>1</v>
      </c>
      <c r="C11" s="20" t="s">
        <v>127</v>
      </c>
      <c r="D11" s="20">
        <v>1</v>
      </c>
      <c r="E11" s="20" t="s">
        <v>569</v>
      </c>
    </row>
    <row r="12" spans="1:5">
      <c r="A12" s="20" t="s">
        <v>110</v>
      </c>
      <c r="B12" s="20">
        <v>2</v>
      </c>
      <c r="C12" s="20" t="s">
        <v>127</v>
      </c>
      <c r="D12" s="20">
        <v>3</v>
      </c>
      <c r="E12" s="20" t="s">
        <v>569</v>
      </c>
    </row>
    <row r="13" spans="1:5">
      <c r="A13" s="20" t="s">
        <v>110</v>
      </c>
      <c r="B13" s="20">
        <v>3</v>
      </c>
      <c r="C13" s="20" t="s">
        <v>127</v>
      </c>
      <c r="D13" s="20">
        <v>6</v>
      </c>
      <c r="E13" s="20" t="s">
        <v>570</v>
      </c>
    </row>
  </sheetData>
  <mergeCells count="2">
    <mergeCell ref="A1:E1"/>
    <mergeCell ref="A2:E2"/>
  </mergeCells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selection activeCell="A1" sqref="A1:G1"/>
    </sheetView>
  </sheetViews>
  <sheetFormatPr defaultColWidth="9" defaultRowHeight="14.25" outlineLevelRow="4" outlineLevelCol="6"/>
  <cols>
    <col min="1" max="1" width="24" customWidth="1"/>
    <col min="2" max="2" width="20" customWidth="1"/>
    <col min="3" max="3" width="32" customWidth="1"/>
    <col min="4" max="4" width="24" customWidth="1"/>
    <col min="5" max="5" width="16" customWidth="1"/>
    <col min="6" max="6" width="14" customWidth="1"/>
    <col min="7" max="7" width="46" customWidth="1"/>
  </cols>
  <sheetData>
    <row r="1" ht="19.2" customHeight="1" spans="1:7">
      <c r="A1" s="22" t="s">
        <v>571</v>
      </c>
      <c r="B1" s="22"/>
      <c r="C1" s="22"/>
      <c r="D1" s="22"/>
      <c r="E1" s="22"/>
      <c r="F1" s="22"/>
      <c r="G1" s="22"/>
    </row>
    <row r="2" ht="15" customHeight="1" spans="1:7">
      <c r="A2" s="9" t="s">
        <v>572</v>
      </c>
      <c r="B2" s="9"/>
      <c r="C2" s="9"/>
      <c r="D2" s="9"/>
      <c r="E2" s="9"/>
      <c r="F2" s="9"/>
      <c r="G2" s="9"/>
    </row>
    <row r="3" ht="15" customHeight="1"/>
    <row r="4" ht="15" customHeight="1" spans="1:7">
      <c r="A4" s="23" t="s">
        <v>514</v>
      </c>
      <c r="B4" s="23" t="s">
        <v>272</v>
      </c>
      <c r="C4" s="23" t="s">
        <v>149</v>
      </c>
      <c r="D4" s="23" t="s">
        <v>35</v>
      </c>
      <c r="E4" s="23" t="s">
        <v>227</v>
      </c>
      <c r="F4" s="23" t="s">
        <v>475</v>
      </c>
      <c r="G4" s="23" t="s">
        <v>53</v>
      </c>
    </row>
    <row r="5" ht="15" customHeight="1" spans="1:7">
      <c r="A5" s="24" t="s">
        <v>573</v>
      </c>
      <c r="B5" s="24" t="s">
        <v>574</v>
      </c>
      <c r="C5" s="24" t="s">
        <v>100</v>
      </c>
      <c r="D5" s="24" t="s">
        <v>101</v>
      </c>
      <c r="E5" s="24" t="s">
        <v>129</v>
      </c>
      <c r="F5" s="24">
        <v>1</v>
      </c>
      <c r="G5" s="24" t="s">
        <v>575</v>
      </c>
    </row>
  </sheetData>
  <mergeCells count="2">
    <mergeCell ref="A1:G1"/>
    <mergeCell ref="A2:G2"/>
  </mergeCells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showGridLines="0" workbookViewId="0">
      <selection activeCell="A1" sqref="A1:G1"/>
    </sheetView>
  </sheetViews>
  <sheetFormatPr defaultColWidth="9" defaultRowHeight="14.25" outlineLevelCol="6"/>
  <cols>
    <col min="1" max="1" width="27" customWidth="1"/>
    <col min="2" max="2" width="9" customWidth="1"/>
    <col min="3" max="5" width="15" customWidth="1"/>
    <col min="6" max="6" width="52" customWidth="1"/>
    <col min="7" max="7" width="18" customWidth="1"/>
  </cols>
  <sheetData>
    <row r="1" ht="26" customHeight="1" spans="1:7">
      <c r="A1" s="14" t="s">
        <v>576</v>
      </c>
      <c r="B1" s="14" t="s">
        <v>63</v>
      </c>
      <c r="C1" s="14" t="s">
        <v>63</v>
      </c>
      <c r="D1" s="14" t="s">
        <v>63</v>
      </c>
      <c r="E1" s="14" t="s">
        <v>63</v>
      </c>
      <c r="F1" s="14" t="s">
        <v>63</v>
      </c>
      <c r="G1" s="14" t="s">
        <v>63</v>
      </c>
    </row>
    <row r="2" ht="34" customHeight="1" spans="1:7">
      <c r="A2" s="15" t="s">
        <v>577</v>
      </c>
      <c r="B2" s="15" t="s">
        <v>63</v>
      </c>
      <c r="C2" s="15" t="s">
        <v>63</v>
      </c>
      <c r="D2" s="15" t="s">
        <v>63</v>
      </c>
      <c r="E2" s="15" t="s">
        <v>63</v>
      </c>
      <c r="F2" s="15" t="s">
        <v>63</v>
      </c>
      <c r="G2" s="15" t="s">
        <v>63</v>
      </c>
    </row>
    <row r="4" ht="28" customHeight="1" spans="1:7">
      <c r="A4" s="16" t="s">
        <v>35</v>
      </c>
      <c r="B4" s="16" t="s">
        <v>147</v>
      </c>
      <c r="C4" s="16" t="s">
        <v>245</v>
      </c>
      <c r="D4" s="16" t="s">
        <v>246</v>
      </c>
      <c r="E4" s="16" t="s">
        <v>247</v>
      </c>
      <c r="F4" s="16" t="s">
        <v>53</v>
      </c>
      <c r="G4" s="16" t="s">
        <v>188</v>
      </c>
    </row>
    <row r="5" spans="1:7">
      <c r="A5" s="17" t="s">
        <v>106</v>
      </c>
      <c r="B5" s="18">
        <v>1</v>
      </c>
      <c r="C5" s="18">
        <v>3</v>
      </c>
      <c r="D5" s="18">
        <v>1</v>
      </c>
      <c r="E5" s="18">
        <v>30</v>
      </c>
      <c r="F5" s="17" t="s">
        <v>578</v>
      </c>
      <c r="G5" s="19" t="str">
        <f t="shared" ref="G5:G10" si="0">IF(OR(C5&lt;0,D5&lt;0,E5&lt;0),"错误：不能为负","通过")</f>
        <v>通过</v>
      </c>
    </row>
    <row r="6" spans="1:7">
      <c r="A6" s="17" t="s">
        <v>106</v>
      </c>
      <c r="B6" s="18">
        <v>2</v>
      </c>
      <c r="C6" s="18">
        <v>8</v>
      </c>
      <c r="D6" s="18">
        <v>1</v>
      </c>
      <c r="E6" s="18">
        <v>100</v>
      </c>
      <c r="F6" s="17" t="s">
        <v>579</v>
      </c>
      <c r="G6" s="19" t="str">
        <f t="shared" si="0"/>
        <v>通过</v>
      </c>
    </row>
    <row r="7" spans="1:7">
      <c r="A7" s="17" t="s">
        <v>106</v>
      </c>
      <c r="B7" s="18">
        <v>3</v>
      </c>
      <c r="C7" s="18">
        <v>0</v>
      </c>
      <c r="D7" s="18">
        <v>0</v>
      </c>
      <c r="E7" s="18">
        <v>0</v>
      </c>
      <c r="F7" s="17" t="s">
        <v>580</v>
      </c>
      <c r="G7" s="19" t="str">
        <f t="shared" si="0"/>
        <v>通过</v>
      </c>
    </row>
    <row r="8" spans="1:7">
      <c r="A8" s="20" t="s">
        <v>110</v>
      </c>
      <c r="B8" s="20">
        <v>1</v>
      </c>
      <c r="C8" s="20">
        <v>3</v>
      </c>
      <c r="D8" s="20">
        <v>1</v>
      </c>
      <c r="E8" s="20">
        <v>30</v>
      </c>
      <c r="F8" s="20" t="s">
        <v>578</v>
      </c>
      <c r="G8" s="21" t="str">
        <f t="shared" si="0"/>
        <v>通过</v>
      </c>
    </row>
    <row r="9" spans="1:7">
      <c r="A9" s="20" t="s">
        <v>110</v>
      </c>
      <c r="B9" s="20">
        <v>2</v>
      </c>
      <c r="C9" s="20">
        <v>8</v>
      </c>
      <c r="D9" s="20">
        <v>1</v>
      </c>
      <c r="E9" s="20">
        <v>100</v>
      </c>
      <c r="F9" s="20" t="s">
        <v>579</v>
      </c>
      <c r="G9" s="21" t="str">
        <f t="shared" si="0"/>
        <v>通过</v>
      </c>
    </row>
    <row r="10" spans="1:7">
      <c r="A10" s="20" t="s">
        <v>110</v>
      </c>
      <c r="B10" s="20">
        <v>3</v>
      </c>
      <c r="C10" s="20">
        <v>0</v>
      </c>
      <c r="D10" s="20">
        <v>0</v>
      </c>
      <c r="E10" s="20">
        <v>0</v>
      </c>
      <c r="F10" s="20" t="s">
        <v>580</v>
      </c>
      <c r="G10" s="21" t="str">
        <f t="shared" si="0"/>
        <v>通过</v>
      </c>
    </row>
  </sheetData>
  <mergeCells count="2">
    <mergeCell ref="A1:G1"/>
    <mergeCell ref="A2:G2"/>
  </mergeCells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"/>
  <sheetViews>
    <sheetView showGridLines="0" workbookViewId="0">
      <selection activeCell="A1" sqref="A1:D1"/>
    </sheetView>
  </sheetViews>
  <sheetFormatPr defaultColWidth="9" defaultRowHeight="14.25" outlineLevelCol="3"/>
  <cols>
    <col min="1" max="1" width="38" customWidth="1"/>
    <col min="2" max="2" width="26" customWidth="1"/>
    <col min="3" max="3" width="34" customWidth="1"/>
    <col min="4" max="4" width="20" customWidth="1"/>
  </cols>
  <sheetData>
    <row r="1" ht="30" customHeight="1" spans="1:4">
      <c r="A1" s="8" t="s">
        <v>581</v>
      </c>
      <c r="B1" s="8"/>
      <c r="C1" s="8"/>
      <c r="D1" s="8"/>
    </row>
    <row r="2" ht="34" customHeight="1" spans="1:4">
      <c r="A2" s="9" t="s">
        <v>582</v>
      </c>
      <c r="B2" s="9"/>
      <c r="C2" s="9"/>
      <c r="D2" s="9"/>
    </row>
    <row r="4" ht="30" customHeight="1" spans="1:4">
      <c r="A4" s="10" t="s">
        <v>514</v>
      </c>
      <c r="B4" s="10" t="s">
        <v>272</v>
      </c>
      <c r="C4" s="10" t="s">
        <v>149</v>
      </c>
      <c r="D4" s="10" t="s">
        <v>520</v>
      </c>
    </row>
    <row r="5" spans="1:4">
      <c r="A5" s="11" t="s">
        <v>583</v>
      </c>
      <c r="B5" s="11" t="s">
        <v>584</v>
      </c>
      <c r="C5" s="11" t="s">
        <v>155</v>
      </c>
      <c r="D5" s="12">
        <v>10</v>
      </c>
    </row>
    <row r="6" spans="1:4">
      <c r="D6" s="13"/>
    </row>
    <row r="7" spans="1:4">
      <c r="D7" s="13"/>
    </row>
    <row r="8" spans="1:4">
      <c r="D8" s="13"/>
    </row>
    <row r="9" spans="1:4">
      <c r="D9" s="13"/>
    </row>
    <row r="10" spans="1:4">
      <c r="D10" s="13"/>
    </row>
    <row r="11" spans="1:4">
      <c r="D11" s="13"/>
    </row>
    <row r="12" spans="1:4">
      <c r="D12" s="13"/>
    </row>
    <row r="13" spans="1:4">
      <c r="D13" s="13"/>
    </row>
    <row r="14" spans="1:4">
      <c r="D14" s="13"/>
    </row>
    <row r="15" spans="1:4">
      <c r="D15" s="13"/>
    </row>
    <row r="16" spans="1:4">
      <c r="D16" s="13"/>
    </row>
    <row r="17" spans="4:4">
      <c r="D17" s="13"/>
    </row>
    <row r="18" spans="4:4">
      <c r="D18" s="13"/>
    </row>
    <row r="19" spans="4:4">
      <c r="D19" s="13"/>
    </row>
    <row r="20" spans="4:4">
      <c r="D20" s="13"/>
    </row>
    <row r="21" spans="4:4">
      <c r="D21" s="13"/>
    </row>
    <row r="22" spans="4:4">
      <c r="D22" s="13"/>
    </row>
    <row r="23" spans="4:4">
      <c r="D23" s="13"/>
    </row>
    <row r="24" spans="4:4">
      <c r="D24" s="13"/>
    </row>
    <row r="25" spans="4:4">
      <c r="D25" s="13"/>
    </row>
    <row r="26" spans="4:4">
      <c r="D26" s="13"/>
    </row>
    <row r="27" spans="4:4">
      <c r="D27" s="13"/>
    </row>
    <row r="28" spans="4:4">
      <c r="D28" s="13"/>
    </row>
    <row r="29" spans="4:4">
      <c r="D29" s="13"/>
    </row>
    <row r="30" spans="4:4">
      <c r="D30" s="13"/>
    </row>
    <row r="31" spans="4:4">
      <c r="D31" s="13"/>
    </row>
    <row r="32" spans="4:4">
      <c r="D32" s="13"/>
    </row>
    <row r="33" spans="4:4">
      <c r="D33" s="13"/>
    </row>
    <row r="34" spans="4:4">
      <c r="D34" s="13"/>
    </row>
    <row r="35" spans="4:4">
      <c r="D35" s="13"/>
    </row>
    <row r="36" spans="4:4">
      <c r="D36" s="13"/>
    </row>
    <row r="37" spans="4:4">
      <c r="D37" s="13"/>
    </row>
    <row r="38" spans="4:4">
      <c r="D38" s="13"/>
    </row>
    <row r="39" spans="4:4">
      <c r="D39" s="13"/>
    </row>
    <row r="40" spans="4:4">
      <c r="D40" s="13"/>
    </row>
    <row r="41" spans="4:4">
      <c r="D41" s="13"/>
    </row>
    <row r="42" spans="4:4">
      <c r="D42" s="13"/>
    </row>
    <row r="43" spans="4:4">
      <c r="D43" s="13"/>
    </row>
    <row r="44" spans="4:4">
      <c r="D44" s="13"/>
    </row>
    <row r="45" spans="4:4">
      <c r="D45" s="13"/>
    </row>
    <row r="46" spans="4:4">
      <c r="D46" s="13"/>
    </row>
    <row r="47" spans="4:4">
      <c r="D47" s="13"/>
    </row>
    <row r="48" spans="4:4">
      <c r="D48" s="13"/>
    </row>
    <row r="49" spans="4:4">
      <c r="D49" s="13"/>
    </row>
    <row r="50" spans="4:4">
      <c r="D50" s="13"/>
    </row>
  </sheetData>
  <mergeCells count="2">
    <mergeCell ref="A1:D1"/>
    <mergeCell ref="A2:D2"/>
  </mergeCells>
  <dataValidations count="1">
    <dataValidation type="decimal" operator="between" sqref="D5:D50">
      <formula1>0.01</formula1>
      <formula2>100</formula2>
    </dataValidation>
  </dataValidations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showGridLines="0" workbookViewId="0">
      <selection activeCell="A1" sqref="A1:F1"/>
    </sheetView>
  </sheetViews>
  <sheetFormatPr defaultColWidth="9" defaultRowHeight="14.25" outlineLevelCol="5"/>
  <cols>
    <col min="1" max="1" width="29" customWidth="1"/>
    <col min="2" max="3" width="18" customWidth="1"/>
    <col min="4" max="4" width="20" customWidth="1"/>
    <col min="5" max="5" width="14" customWidth="1"/>
    <col min="6" max="6" width="16" customWidth="1"/>
  </cols>
  <sheetData>
    <row r="1" ht="30" customHeight="1" spans="1:6">
      <c r="A1" s="1" t="s">
        <v>585</v>
      </c>
      <c r="B1" s="1"/>
      <c r="C1" s="1"/>
      <c r="D1" s="1"/>
      <c r="E1" s="1"/>
      <c r="F1" s="1"/>
    </row>
    <row r="2" ht="38" customHeight="1" spans="1:6">
      <c r="A2" s="2" t="s">
        <v>586</v>
      </c>
      <c r="B2" s="2"/>
      <c r="C2" s="2"/>
      <c r="D2" s="2"/>
      <c r="E2" s="2"/>
      <c r="F2" s="2"/>
    </row>
    <row r="4" ht="26" customHeight="1" spans="1:6">
      <c r="A4" s="3" t="s">
        <v>35</v>
      </c>
      <c r="B4" s="3" t="s">
        <v>16</v>
      </c>
      <c r="C4" s="3" t="s">
        <v>533</v>
      </c>
      <c r="D4" s="3" t="s">
        <v>536</v>
      </c>
      <c r="E4" s="3" t="s">
        <v>587</v>
      </c>
      <c r="F4" s="3" t="s">
        <v>188</v>
      </c>
    </row>
    <row r="5" ht="22" customHeight="1" spans="1:6">
      <c r="A5" s="4" t="s">
        <v>118</v>
      </c>
      <c r="B5" s="4" t="s">
        <v>137</v>
      </c>
      <c r="C5" s="5">
        <v>10</v>
      </c>
      <c r="D5" s="5">
        <v>3</v>
      </c>
      <c r="E5" s="6">
        <f>C5*D5</f>
        <v>30</v>
      </c>
      <c r="F5" s="7" t="str">
        <f>IF(AND(C5&gt;0,D5&gt;0),"通过","错误：数值")</f>
        <v>通过</v>
      </c>
    </row>
    <row r="6" ht="22" customHeight="1" spans="1:6">
      <c r="A6" s="4" t="s">
        <v>121</v>
      </c>
      <c r="B6" s="4" t="s">
        <v>129</v>
      </c>
      <c r="C6" s="5">
        <v>10</v>
      </c>
      <c r="D6" s="5">
        <v>3</v>
      </c>
      <c r="E6" s="6">
        <f>C6*D6</f>
        <v>30</v>
      </c>
      <c r="F6" s="7" t="str">
        <f>IF(AND(C6&gt;0,D6&gt;0),"通过","错误：数值")</f>
        <v>通过</v>
      </c>
    </row>
    <row r="7" ht="22" customHeight="1" spans="1:6">
      <c r="A7" s="4"/>
      <c r="B7" s="4"/>
      <c r="C7" s="5"/>
      <c r="D7" s="5"/>
      <c r="E7" s="6"/>
      <c r="F7" s="7"/>
    </row>
    <row r="8" ht="22" customHeight="1" spans="1:6">
      <c r="A8" s="4"/>
      <c r="B8" s="4"/>
      <c r="C8" s="5"/>
      <c r="D8" s="5"/>
      <c r="E8" s="6"/>
      <c r="F8" s="7"/>
    </row>
    <row r="9" ht="22" customHeight="1" spans="1:6">
      <c r="A9" s="4"/>
      <c r="B9" s="4"/>
      <c r="C9" s="5"/>
      <c r="D9" s="5"/>
      <c r="E9" s="6"/>
      <c r="F9" s="7"/>
    </row>
    <row r="10" ht="22" customHeight="1" spans="1:6">
      <c r="A10" s="4"/>
      <c r="B10" s="4"/>
      <c r="C10" s="5"/>
      <c r="D10" s="5"/>
      <c r="E10" s="6"/>
      <c r="F10" s="7"/>
    </row>
    <row r="11" ht="22" customHeight="1" spans="1:6">
      <c r="A11" s="4"/>
      <c r="B11" s="4"/>
      <c r="C11" s="5"/>
      <c r="D11" s="5"/>
      <c r="E11" s="6"/>
      <c r="F11" s="7"/>
    </row>
    <row r="12" ht="22" customHeight="1" spans="1:6">
      <c r="A12" s="4"/>
      <c r="B12" s="4"/>
      <c r="C12" s="5"/>
      <c r="D12" s="5"/>
      <c r="E12" s="6"/>
      <c r="F12" s="7"/>
    </row>
    <row r="13" ht="22" customHeight="1" spans="1:6">
      <c r="A13" s="4"/>
      <c r="B13" s="4"/>
      <c r="C13" s="5"/>
      <c r="D13" s="5"/>
      <c r="E13" s="6"/>
      <c r="F13" s="7"/>
    </row>
    <row r="14" ht="22" customHeight="1" spans="1:6">
      <c r="A14" s="4"/>
      <c r="B14" s="4"/>
      <c r="C14" s="5"/>
      <c r="D14" s="5"/>
      <c r="E14" s="6"/>
      <c r="F14" s="7"/>
    </row>
    <row r="15" ht="22" customHeight="1" spans="1:6">
      <c r="A15" s="4"/>
      <c r="B15" s="4"/>
      <c r="C15" s="5"/>
      <c r="D15" s="5"/>
      <c r="E15" s="6"/>
      <c r="F15" s="7"/>
    </row>
    <row r="16" ht="22" customHeight="1" spans="1:6">
      <c r="A16" s="4"/>
      <c r="B16" s="4"/>
      <c r="C16" s="5"/>
      <c r="D16" s="5"/>
      <c r="E16" s="6"/>
      <c r="F16" s="7"/>
    </row>
    <row r="17" ht="22" customHeight="1" spans="1:6">
      <c r="A17" s="4"/>
      <c r="B17" s="4"/>
      <c r="C17" s="5"/>
      <c r="D17" s="5"/>
      <c r="E17" s="6"/>
      <c r="F17" s="7"/>
    </row>
    <row r="18" ht="22" customHeight="1" spans="1:6">
      <c r="A18" s="4"/>
      <c r="B18" s="4"/>
      <c r="C18" s="5"/>
      <c r="D18" s="5"/>
      <c r="E18" s="6"/>
      <c r="F18" s="7"/>
    </row>
    <row r="19" ht="22" customHeight="1" spans="1:6">
      <c r="A19" s="4"/>
      <c r="B19" s="4"/>
      <c r="C19" s="5"/>
      <c r="D19" s="5"/>
      <c r="E19" s="6"/>
      <c r="F19" s="7"/>
    </row>
    <row r="20" ht="22" customHeight="1" spans="1:6">
      <c r="A20" s="4"/>
      <c r="B20" s="4"/>
      <c r="C20" s="5"/>
      <c r="D20" s="5"/>
      <c r="E20" s="6"/>
      <c r="F20" s="7"/>
    </row>
    <row r="21" ht="22" customHeight="1" spans="1:6">
      <c r="A21" s="4"/>
      <c r="B21" s="4"/>
      <c r="C21" s="5"/>
      <c r="D21" s="5"/>
      <c r="E21" s="6"/>
      <c r="F21" s="7"/>
    </row>
    <row r="22" ht="22" customHeight="1" spans="1:6">
      <c r="A22" s="4"/>
      <c r="B22" s="4"/>
      <c r="C22" s="5"/>
      <c r="D22" s="5"/>
      <c r="E22" s="6"/>
      <c r="F22" s="7"/>
    </row>
    <row r="23" ht="22" customHeight="1" spans="1:6">
      <c r="A23" s="4"/>
      <c r="B23" s="4"/>
      <c r="C23" s="5"/>
      <c r="D23" s="5"/>
      <c r="E23" s="6"/>
      <c r="F23" s="7"/>
    </row>
    <row r="24" ht="22" customHeight="1" spans="1:6">
      <c r="A24" s="4"/>
      <c r="B24" s="4"/>
      <c r="C24" s="5"/>
      <c r="D24" s="5"/>
      <c r="E24" s="6"/>
      <c r="F24" s="7"/>
    </row>
  </sheetData>
  <mergeCells count="2">
    <mergeCell ref="A1:F1"/>
    <mergeCell ref="A2:F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说明</vt:lpstr>
      <vt:lpstr>建筑家族</vt:lpstr>
      <vt:lpstr>放置消耗</vt:lpstr>
      <vt:lpstr>施工消耗</vt:lpstr>
      <vt:lpstr>运营等级</vt:lpstr>
      <vt:lpstr>升级消耗</vt:lpstr>
      <vt:lpstr>等级_固定人口</vt:lpstr>
      <vt:lpstr>等级_库存容量</vt:lpstr>
      <vt:lpstr>等级_科技点</vt:lpstr>
      <vt:lpstr>等级_住宅</vt:lpstr>
      <vt:lpstr>等级_岗位</vt:lpstr>
      <vt:lpstr>等级_生产</vt:lpstr>
      <vt:lpstr>等级_捕鱼稀有</vt:lpstr>
      <vt:lpstr>等级_仓库</vt:lpstr>
      <vt:lpstr>模块_市场</vt:lpstr>
      <vt:lpstr>模块_树木</vt:lpstr>
      <vt:lpstr>模块_范围效果</vt:lpstr>
      <vt:lpstr>模块_作物</vt:lpstr>
      <vt:lpstr>作物_种植消耗</vt:lpstr>
      <vt:lpstr>作物_收获产出</vt:lpstr>
      <vt:lpstr>作物_自动收获</vt:lpstr>
      <vt:lpstr>视觉样式</vt:lpstr>
      <vt:lpstr>数据字典</vt:lpstr>
      <vt:lpstr>汇总检查</vt:lpstr>
      <vt:lpstr>施工产出</vt:lpstr>
      <vt:lpstr>等级_维护费</vt:lpstr>
      <vt:lpstr>科技_全局生产Buff</vt:lpstr>
      <vt:lpstr>等级_运营经验</vt:lpstr>
      <vt:lpstr>科技_全局库存Buff</vt:lpstr>
      <vt:lpstr>模块_有限采集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</cp:lastModifiedBy>
  <dcterms:created xsi:type="dcterms:W3CDTF">2026-07-17T14:06:13Z</dcterms:created>
  <dcterms:modified xsi:type="dcterms:W3CDTF">2026-07-17T14:07:44Z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8D14DD1CEC3040C6AFAFF7B9D990CE0B_12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