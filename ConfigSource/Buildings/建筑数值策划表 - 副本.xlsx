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8350" windowHeight="1970" firstSheet="8" activeTab="16"/>
  </bookViews>
  <sheets>
    <sheet name="说明" sheetId="1" r:id="rId1"/>
    <sheet name="建筑家族" sheetId="2" r:id="rId2"/>
    <sheet name="放置消耗" sheetId="3" r:id="rId3"/>
    <sheet name="施工消耗" sheetId="4" r:id="rId4"/>
    <sheet name="运营等级" sheetId="5" r:id="rId5"/>
    <sheet name="升级消耗" sheetId="6" r:id="rId6"/>
    <sheet name="等级_固定人口" sheetId="7" r:id="rId7"/>
    <sheet name="等级_库存容量" sheetId="8" r:id="rId8"/>
    <sheet name="等级_科技点" sheetId="9" r:id="rId9"/>
    <sheet name="等级_住宅" sheetId="10" r:id="rId10"/>
    <sheet name="等级_岗位" sheetId="11" r:id="rId11"/>
    <sheet name="等级_生产" sheetId="12" r:id="rId12"/>
    <sheet name="等级_捕鱼稀有" sheetId="13" r:id="rId13"/>
    <sheet name="等级_仓库" sheetId="14" r:id="rId14"/>
    <sheet name="模块_市场" sheetId="15" r:id="rId15"/>
    <sheet name="模块_树木" sheetId="16" r:id="rId16"/>
    <sheet name="模块_范围效果" sheetId="17" r:id="rId17"/>
    <sheet name="模块_作物" sheetId="18" r:id="rId18"/>
    <sheet name="作物_种植消耗" sheetId="19" r:id="rId19"/>
    <sheet name="作物_收获产出" sheetId="20" r:id="rId20"/>
    <sheet name="作物_自动收获" sheetId="21" r:id="rId21"/>
    <sheet name="视觉样式" sheetId="22" r:id="rId22"/>
    <sheet name="数据字典" sheetId="23" r:id="rId23"/>
    <sheet name="汇总检查" sheetId="24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<sst xmlns="http://schemas.openxmlformats.org/spreadsheetml/2006/main" count="778" uniqueCount="348">
  <si>
    <t>建筑正式数值配置表</t>
  </si>
  <si>
    <t>黄色单元格是策划输入，蓝色单元格是公式/检查。Unity 导表器是最终校验权威；任一错误会阻止整次导入。</t>
  </si>
  <si>
    <t>SchemaVersion</t>
  </si>
  <si>
    <t>正式源路径</t>
  </si>
  <si>
    <t>ConfigSource/Buildings/建筑数值策划表.xlsx（项目根目录，不进入 AssetDatabase）</t>
  </si>
  <si>
    <t>当前家族数</t>
  </si>
  <si>
    <t>当前运营等级数</t>
  </si>
  <si>
    <t>核心组合键</t>
  </si>
  <si>
    <t>FamilyId + Level；作物增加 CropId；范围效果增加 EffectId；视觉增加 StyleId</t>
  </si>
  <si>
    <t>数据权属</t>
  </si>
  <si>
    <t>Excel 导入</t>
  </si>
  <si>
    <t>建筑公共数值、放置/施工/升级消耗、运营等级、等级配置、仓库/市场/树木/范围效果/作物模块默认值</t>
  </si>
  <si>
    <t>Unity 维护</t>
  </si>
  <si>
    <t>Runtime Prefab 结构、ModuleSet 模块结构、Presentation、图标/View、显示条件与复杂非科技条件</t>
  </si>
  <si>
    <t>Prefab 标量</t>
  </si>
  <si>
    <t>导表器只更新资源提供点、资源优先级、行动力预算三个数据字段，不添加/删除组件</t>
  </si>
  <si>
    <t>ItemId</t>
  </si>
  <si>
    <t>Excel 使用 ItemId；导入器解析后写入真实 ItemDefinition 引用</t>
  </si>
  <si>
    <t>条件</t>
  </si>
  <si>
    <t>升级条件支持 none、keep、technology.&lt;TechnologyId&gt;；显示条件继续在 Unity 维护</t>
  </si>
  <si>
    <t>视觉样式</t>
  </si>
  <si>
    <t>视觉样式工作表仅作美术回填清单，不参与数值导入，不会清空已有表现资源</t>
  </si>
  <si>
    <t>策划流程</t>
  </si>
  <si>
    <t>1</t>
  </si>
  <si>
    <t>在对应专表修改黄色输入字段；不要改工作表名、第 4 行列名或 SchemaVersion 位置。</t>
  </si>
  <si>
    <t>2</t>
  </si>
  <si>
    <t>回到 Unity：Landsong / Building / 建筑数值导表工具。</t>
  </si>
  <si>
    <t>3</t>
  </si>
  <si>
    <t>点击“重新读取并校验”，先修复全部错误。警告可根据内容判断。</t>
  </si>
  <si>
    <t>4</t>
  </si>
  <si>
    <t>确认影响预览后执行导入；导入支持一次 Undo。</t>
  </si>
  <si>
    <t>5</t>
  </si>
  <si>
    <t>新增建筑或模块结构仍先用建筑编辑器创建，再补本表数据。未知 FamilyId 不会自动创建资产。</t>
  </si>
  <si>
    <t>建筑家族（公共数值）</t>
  </si>
  <si>
    <t>一行一个现有 FamilyId。FamilyId 是匹配键，不能用导表重命名；图标与显示条件不在本表。地形Keys 多项用 | 分隔。</t>
  </si>
  <si>
    <t>FamilyId</t>
  </si>
  <si>
    <t>名称</t>
  </si>
  <si>
    <t>分类</t>
  </si>
  <si>
    <t>SizeX</t>
  </si>
  <si>
    <t>SizeY</t>
  </si>
  <si>
    <t>忽略地形</t>
  </si>
  <si>
    <t>地形Keys</t>
  </si>
  <si>
    <t>移动阻力</t>
  </si>
  <si>
    <t>施工回合</t>
  </si>
  <si>
    <t>数量上限</t>
  </si>
  <si>
    <t>数量限制分组ID</t>
  </si>
  <si>
    <t>蓝图初始锁定</t>
  </si>
  <si>
    <t>锁定时隐藏</t>
  </si>
  <si>
    <t>菜单排序</t>
  </si>
  <si>
    <t>开发完成</t>
  </si>
  <si>
    <t>资源提供点</t>
  </si>
  <si>
    <t>资源提供优先级</t>
  </si>
  <si>
    <t>行动力预算</t>
  </si>
  <si>
    <t>说明</t>
  </si>
  <si>
    <t>building.player_home</t>
  </si>
  <si>
    <t>王宫</t>
  </si>
  <si>
    <t>市政</t>
  </si>
  <si>
    <t>否</t>
  </si>
  <si>
    <t>陆地</t>
  </si>
  <si>
    <t>是</t>
  </si>
  <si>
    <t>显示条件由 Unity 维护为隐藏；提供固定人口、库存与科技点</t>
  </si>
  <si>
    <t>building.residential_house</t>
  </si>
  <si>
    <t>居民房</t>
  </si>
  <si>
    <t>人口</t>
  </si>
  <si>
    <t>放置后经历 3 个施工阶段</t>
  </si>
  <si>
    <t>building.lumber_cabin</t>
  </si>
  <si>
    <t>伐木小屋</t>
  </si>
  <si>
    <t>工业</t>
  </si>
  <si>
    <t>岗位 + 普通生产</t>
  </si>
  <si>
    <t>building.fishing_hut</t>
  </si>
  <si>
    <t>捕鱼小屋</t>
  </si>
  <si>
    <t>农业</t>
  </si>
  <si>
    <t>岗位 + 普通生产 + 稀有产出</t>
  </si>
  <si>
    <t>building.farm_field</t>
  </si>
  <si>
    <t>农田</t>
  </si>
  <si>
    <t>作物表当前为空，待策划配置</t>
  </si>
  <si>
    <t>building.market</t>
  </si>
  <si>
    <t>市场</t>
  </si>
  <si>
    <t>经济</t>
  </si>
  <si>
    <t>满岗位时作为资源提供点并按价值结算金币</t>
  </si>
  <si>
    <t>building.warehouse</t>
  </si>
  <si>
    <t>仓库</t>
  </si>
  <si>
    <r>
      <rPr>
        <sz val="11"/>
        <color rgb="FF1F2937"/>
        <rFont val="宋体"/>
        <charset val="134"/>
      </rPr>
      <t>人口</t>
    </r>
    <r>
      <rPr>
        <sz val="11"/>
        <color rgb="FF1F2937"/>
        <rFont val="Carlito"/>
        <charset val="134"/>
      </rPr>
      <t>|</t>
    </r>
    <r>
      <rPr>
        <sz val="11"/>
        <color rgb="FF1F2937"/>
        <rFont val="宋体"/>
        <charset val="134"/>
      </rPr>
      <t>经济</t>
    </r>
    <r>
      <rPr>
        <sz val="11"/>
        <color rgb="FF1F2937"/>
        <rFont val="Carlito"/>
        <charset val="134"/>
      </rPr>
      <t>|</t>
    </r>
    <r>
      <rPr>
        <sz val="11"/>
        <color rgb="FF1F2937"/>
        <rFont val="宋体"/>
        <charset val="134"/>
      </rPr>
      <t>工业</t>
    </r>
  </si>
  <si>
    <t>动态库存容量；维护费、经验和岗位阈值见等级_仓库</t>
  </si>
  <si>
    <t>building.road</t>
  </si>
  <si>
    <t>泥路</t>
  </si>
  <si>
    <t>交通</t>
  </si>
  <si>
    <t>移动阻力 5</t>
  </si>
  <si>
    <t>building.tree</t>
  </si>
  <si>
    <t>树木</t>
  </si>
  <si>
    <t>装饰</t>
  </si>
  <si>
    <t>一个家族，八个视觉 Style</t>
  </si>
  <si>
    <t>放置消耗</t>
  </si>
  <si>
    <t>确认放置时一次性扣除。一行一种 ItemId；无费用的建筑不写占位行。</t>
  </si>
  <si>
    <t>数量</t>
  </si>
  <si>
    <t>金币</t>
  </si>
  <si>
    <t>放下施工实例时支付</t>
  </si>
  <si>
    <t>石头</t>
  </si>
  <si>
    <t>原木</t>
  </si>
  <si>
    <t>所有 Tree Style 共用</t>
  </si>
  <si>
    <t>树苗</t>
  </si>
  <si>
    <t>逐回合施工消耗</t>
  </si>
  <si>
    <t>回合序号从 1 开始，不能超过建筑家族表中的施工回合。空施工回合不写费用行。</t>
  </si>
  <si>
    <t>回合序号</t>
  </si>
  <si>
    <t>泥土</t>
  </si>
  <si>
    <t>第 1 施工阶段</t>
  </si>
  <si>
    <t>第 2 施工阶段</t>
  </si>
  <si>
    <t>第 3 施工阶段</t>
  </si>
  <si>
    <t>第 1 施工阶段（粘土资产的稳定 ItemId 为泥土）</t>
  </si>
  <si>
    <t>第 2 施工阶段（木材映射为基础资源原木）</t>
  </si>
  <si>
    <t>运营等级与升级条件</t>
  </si>
  <si>
    <t>一行一个 FamilyId + Level，必须从 LV1 连续。ConditionId 支持 none、keep、technology.&lt;TechnologyId&gt;。</t>
  </si>
  <si>
    <t>Level</t>
  </si>
  <si>
    <t>开放</t>
  </si>
  <si>
    <t>ConditionId</t>
  </si>
  <si>
    <t>none</t>
  </si>
  <si>
    <t>施工完成进入 LV1</t>
  </si>
  <si>
    <t>占位等级，开放前需补条件与数值</t>
  </si>
  <si>
    <t>占位等级</t>
  </si>
  <si>
    <t>technology.TN_3_1_启蒙</t>
  </si>
  <si>
    <t>满足科技并支付升级费用</t>
  </si>
  <si>
    <t>施工完成进入 LV1；30 EXP 后可升 LV2</t>
  </si>
  <si>
    <t>累计 50 EXP 后可升 LV3；科技条件待策划回填</t>
  </si>
  <si>
    <t>最高等级；5 工人额外提供 1 库存格</t>
  </si>
  <si>
    <t>升级消耗（目标等级口径）</t>
  </si>
  <si>
    <t>费用写在升入的目标等级上。LV1 不允许写升级费用。</t>
  </si>
  <si>
    <t>目标Level</t>
  </si>
  <si>
    <t>需同时满足 technology.TN_3_1_启蒙</t>
  </si>
  <si>
    <t>等级配置：固定人口</t>
  </si>
  <si>
    <t>对应 PlayerHomeLevelConfiguration；只允许拥有 population.fixed 模块的家族填写。</t>
  </si>
  <si>
    <t>提供人口</t>
  </si>
  <si>
    <t>校验</t>
  </si>
  <si>
    <t>等级配置：库存容量</t>
  </si>
  <si>
    <t>对应 BuildingInventoryLevelConfiguration；单位为库存格。</t>
  </si>
  <si>
    <t>提供库存格</t>
  </si>
  <si>
    <t>等级配置：科技点</t>
  </si>
  <si>
    <t>对应 BuildingTechnologyPointLevelConfiguration；每个成功回合注入当前研究。</t>
  </si>
  <si>
    <t>科技点/回合</t>
  </si>
  <si>
    <t>等级配置：居民运营</t>
  </si>
  <si>
    <t>对应 ResidentialHousingLevelConfiguration。食物按当前人口每回合消耗，满人口食物/回合是公式提示，不参与导入。</t>
  </si>
  <si>
    <t>初始人口</t>
  </si>
  <si>
    <t>人口上限</t>
  </si>
  <si>
    <t>FoodItemId</t>
  </si>
  <si>
    <t>增长回合</t>
  </si>
  <si>
    <t>失败衰减阈值</t>
  </si>
  <si>
    <t>TaxItemId</t>
  </si>
  <si>
    <t>税收回合</t>
  </si>
  <si>
    <t>满人口食物/回合</t>
  </si>
  <si>
    <t>蔬菜</t>
  </si>
  <si>
    <t>等级配置：岗位运营</t>
  </si>
  <si>
    <t>对应 BuildingWorkforceLevelConfiguration。每个拥有 workforce 模块的运营等级必须恰好一行。</t>
  </si>
  <si>
    <t>最大工人</t>
  </si>
  <si>
    <t>初始工人</t>
  </si>
  <si>
    <t>基础吸引力</t>
  </si>
  <si>
    <t>招工金币</t>
  </si>
  <si>
    <t>自动补贴</t>
  </si>
  <si>
    <t>稳定目标工人</t>
  </si>
  <si>
    <t>GoldItemId</t>
  </si>
  <si>
    <t>等级配置：资源产出</t>
  </si>
  <si>
    <t>一行一个 FamilyId + Level + OutputItemId + 工人阈值。同一等级的周期回合必须一致；产量/回合是公式，不参与导入。</t>
  </si>
  <si>
    <t>OutputItemId</t>
  </si>
  <si>
    <t>工人阈值</t>
  </si>
  <si>
    <t>产量/周期</t>
  </si>
  <si>
    <t>周期回合</t>
  </si>
  <si>
    <t>产量/回合</t>
  </si>
  <si>
    <t>鱼</t>
  </si>
  <si>
    <t>等级配置：捕鱼稀有产出</t>
  </si>
  <si>
    <t>对应 FishingHutLevelConfiguration / BM_稀有产出。禁用时仍可保留 ItemId 作为未来占位。</t>
  </si>
  <si>
    <t>启用</t>
  </si>
  <si>
    <t>最低工人</t>
  </si>
  <si>
    <t>概率%</t>
  </si>
  <si>
    <t>黄金鱼</t>
  </si>
  <si>
    <t>等级配置：仓库运营</t>
  </si>
  <si>
    <t>对应 WarehouseLevelConfiguration / BM_仓库运营。基础库存格只在达到容量所需工人时生效；维护失败会阻止经验并降低本建筑岗位吸引力。</t>
  </si>
  <si>
    <t>容量所需工人</t>
  </si>
  <si>
    <t>基础库存格</t>
  </si>
  <si>
    <t>MaintenanceItemId</t>
  </si>
  <si>
    <t>维护费/回合</t>
  </si>
  <si>
    <t>经验所需工人</t>
  </si>
  <si>
    <t>经验/回合</t>
  </si>
  <si>
    <t>下级经验要求</t>
  </si>
  <si>
    <t>奖励工人阈值</t>
  </si>
  <si>
    <t>奖励库存格</t>
  </si>
  <si>
    <t>维护失败吸引力惩罚</t>
  </si>
  <si>
    <t>模块默认值：市场资源结算</t>
  </si>
  <si>
    <t>模块级配置，不随运营等级变化。价值结算比例以小数填写：0.1 表示 10%。</t>
  </si>
  <si>
    <t>价值结算比例</t>
  </si>
  <si>
    <t>显示比例</t>
  </si>
  <si>
    <t>模块默认值：树木采集</t>
  </si>
  <si>
    <t>模块级配置，不随运营等级或 Style 变化。平均生命与预计双击次数为策划分析公式。</t>
  </si>
  <si>
    <t>最低生命</t>
  </si>
  <si>
    <t>最高生命</t>
  </si>
  <si>
    <t>双击伤害</t>
  </si>
  <si>
    <t>WoodItemId</t>
  </si>
  <si>
    <t>原木奖励</t>
  </si>
  <si>
    <t>SaplingItemId</t>
  </si>
  <si>
    <t>树苗奖励</t>
  </si>
  <si>
    <t>平均生命</t>
  </si>
  <si>
    <t>预计双击次数</t>
  </si>
  <si>
    <t>模块默认值：范围效果</t>
  </si>
  <si>
    <t>一行一个 FamilyId + EffectId。先在 Unity 中创建效果资产并挂入 ModuleSet；本表管理效果类型、目标、范围、数值及叠加规则。</t>
  </si>
  <si>
    <t>EffectId</t>
  </si>
  <si>
    <t>显示名</t>
  </si>
  <si>
    <t>Kind</t>
  </si>
  <si>
    <t>TargetFilter</t>
  </si>
  <si>
    <t>曼哈顿半径</t>
  </si>
  <si>
    <t>效果数值</t>
  </si>
  <si>
    <t>StackingRule</t>
  </si>
  <si>
    <t>影响自身占地</t>
  </si>
  <si>
    <t>覆盖格说明</t>
  </si>
  <si>
    <t>beauty.tree</t>
  </si>
  <si>
    <t>树木美化</t>
  </si>
  <si>
    <t>beauty</t>
  </si>
  <si>
    <t>cell</t>
  </si>
  <si>
    <t>highest_value</t>
  </si>
  <si>
    <t>模块默认值：作物定义</t>
  </si>
  <si>
    <t>当前项目作物列表尚未配置。新增时一行一个 FamilyId + CropId；图标继续在 Unity 中按 CropId 维护，导入不会覆盖。</t>
  </si>
  <si>
    <t>CropId</t>
  </si>
  <si>
    <t>成熟回合</t>
  </si>
  <si>
    <t>作物：种植消耗</t>
  </si>
  <si>
    <t>引用模块_作物中的 FamilyId + CropId。一行一种 ItemId；无消耗不写行。</t>
  </si>
  <si>
    <t>作物：收获产出</t>
  </si>
  <si>
    <t>引用模块_作物中的 FamilyId + CropId。一行一种 ItemId，最小/最大数量形成随机区间。</t>
  </si>
  <si>
    <t>最小数量</t>
  </si>
  <si>
    <t>最大数量</t>
  </si>
  <si>
    <t>作物：自动收获消耗</t>
  </si>
  <si>
    <t>模块级自动收获费用，一行一种 ItemId；无费用不写行。</t>
  </si>
  <si>
    <t>视觉 Style 回填清单（不参与导入）</t>
  </si>
  <si>
    <t>Style 不产生新建筑家族。此表仅帮助策划与美术跟踪菜单名称、Icon 和各等级 View；实际引用仍在 BuildingPresentationDefinition。</t>
  </si>
  <si>
    <t>StyleId</t>
  </si>
  <si>
    <t>菜单名称</t>
  </si>
  <si>
    <t>IconAssetPath</t>
  </si>
  <si>
    <t>LV1ViewAssetPath</t>
  </si>
  <si>
    <t>回填状态</t>
  </si>
  <si>
    <t>tree_01</t>
  </si>
  <si>
    <t>树木 1</t>
  </si>
  <si>
    <t/>
  </si>
  <si>
    <t>tree_02</t>
  </si>
  <si>
    <t>树木 2</t>
  </si>
  <si>
    <t>tree_03</t>
  </si>
  <si>
    <t>树木 3</t>
  </si>
  <si>
    <t>tree_04</t>
  </si>
  <si>
    <t>树木 4</t>
  </si>
  <si>
    <t>tree_05</t>
  </si>
  <si>
    <t>树木 5</t>
  </si>
  <si>
    <t>tree_06</t>
  </si>
  <si>
    <t>树木 6</t>
  </si>
  <si>
    <t>tree_07</t>
  </si>
  <si>
    <t>树木 7</t>
  </si>
  <si>
    <t>tree_08</t>
  </si>
  <si>
    <t>树木 8</t>
  </si>
  <si>
    <t>稳定 ID 与导入权属字典</t>
  </si>
  <si>
    <t>ItemId 与 TechnologyId 必须能在 Unity 项目中唯一解析；显示名称可以变化，稳定 ID 不应随文案调整。</t>
  </si>
  <si>
    <t>类型</t>
  </si>
  <si>
    <t>稳定ID/名称</t>
  </si>
  <si>
    <t>显示说明</t>
  </si>
  <si>
    <t>Unity 解析目标</t>
  </si>
  <si>
    <t>是否导入</t>
  </si>
  <si>
    <t>Category</t>
  </si>
  <si>
    <t>住宅、人口容量与人口服务</t>
  </si>
  <si>
    <t>BuildingCategory.人口</t>
  </si>
  <si>
    <t>种植、养殖、捕鱼与食物获取</t>
  </si>
  <si>
    <t>BuildingCategory.农业</t>
  </si>
  <si>
    <t>资源采集、加工与制造</t>
  </si>
  <si>
    <t>BuildingCategory.工业</t>
  </si>
  <si>
    <t>市场、贸易与财政</t>
  </si>
  <si>
    <t>BuildingCategory.经济</t>
  </si>
  <si>
    <t>科研</t>
  </si>
  <si>
    <t>研究与科技产出</t>
  </si>
  <si>
    <t>BuildingCategory.科研</t>
  </si>
  <si>
    <t>治理、公共服务与城市核心</t>
  </si>
  <si>
    <t>BuildingCategory.市政</t>
  </si>
  <si>
    <t>军事</t>
  </si>
  <si>
    <t>防御、驻军与训练</t>
  </si>
  <si>
    <t>BuildingCategory.军事</t>
  </si>
  <si>
    <t>道路、运输与通行设施</t>
  </si>
  <si>
    <t>BuildingCategory.交通</t>
  </si>
  <si>
    <t>景观与非核心装饰</t>
  </si>
  <si>
    <t>BuildingCategory.装饰</t>
  </si>
  <si>
    <t>奇观</t>
  </si>
  <si>
    <t>唯一性或里程碑大型建筑</t>
  </si>
  <si>
    <t>BuildingCategory.奇观</t>
  </si>
  <si>
    <t>Item</t>
  </si>
  <si>
    <t>ItemDefinition.ItemId</t>
  </si>
  <si>
    <t>木板</t>
  </si>
  <si>
    <t>Condition</t>
  </si>
  <si>
    <t>无升级条件</t>
  </si>
  <si>
    <t>null</t>
  </si>
  <si>
    <t>keep</t>
  </si>
  <si>
    <t>保留现有条件（仅现有等级）</t>
  </si>
  <si>
    <t>现有 GameCondition</t>
  </si>
  <si>
    <t>启蒙科技解锁</t>
  </si>
  <si>
    <t>GameCondition_TechnologyUnlocked</t>
  </si>
  <si>
    <t>LevelConfiguration</t>
  </si>
  <si>
    <t>warehouse.operation</t>
  </si>
  <si>
    <t>仓库容量、维护、经验、奖励和吸引力惩罚</t>
  </si>
  <si>
    <t>WarehouseLevelConfiguration</t>
  </si>
  <si>
    <t>SpatialEffect.Kind</t>
  </si>
  <si>
    <t>格子美化</t>
  </si>
  <si>
    <t>BuildingSpatialEffectKind</t>
  </si>
  <si>
    <t>production_percent</t>
  </si>
  <si>
    <t>建筑生产百分比</t>
  </si>
  <si>
    <t>SpatialEffect.Target</t>
  </si>
  <si>
    <t>地图格</t>
  </si>
  <si>
    <t>BuildingSpatialTargetFilter</t>
  </si>
  <si>
    <t>any_building</t>
  </si>
  <si>
    <t>任意建筑</t>
  </si>
  <si>
    <t>farmland</t>
  </si>
  <si>
    <t>农田建筑</t>
  </si>
  <si>
    <t>SpatialEffect.Stacking</t>
  </si>
  <si>
    <t>additive</t>
  </si>
  <si>
    <t>全部来源累加</t>
  </si>
  <si>
    <t>BuildingSpatialStackingRule</t>
  </si>
  <si>
    <t>no_stack</t>
  </si>
  <si>
    <t>同 EffectId 只取最高</t>
  </si>
  <si>
    <t>该规则来源只取最高</t>
  </si>
  <si>
    <t>Presentation</t>
  </si>
  <si>
    <t>视觉变体，不产生新家族</t>
  </si>
  <si>
    <t>BuildingPresentationDefinition</t>
  </si>
  <si>
    <t>Icon/View Path</t>
  </si>
  <si>
    <t>美术回填清单</t>
  </si>
  <si>
    <t>Unity 对象引用</t>
  </si>
  <si>
    <t>Structure</t>
  </si>
  <si>
    <t>ModuleSet</t>
  </si>
  <si>
    <t>模块类型和启用状态</t>
  </si>
  <si>
    <t>BuildingModuleSetDefinition</t>
  </si>
  <si>
    <t>Runtime Prefab</t>
  </si>
  <si>
    <t>组件与层级结构</t>
  </si>
  <si>
    <t>Prefab</t>
  </si>
  <si>
    <t>正式源表汇总</t>
  </si>
  <si>
    <t>这里提供快速体检，不替代 Unity 导表器。Unity 会额外检查重复键、物品/科技引用、等级连续性、模块依赖和数值范围。</t>
  </si>
  <si>
    <t>检查项</t>
  </si>
  <si>
    <t>当前值</t>
  </si>
  <si>
    <t>基准/规则</t>
  </si>
  <si>
    <t>状态</t>
  </si>
  <si>
    <t>家族数量</t>
  </si>
  <si>
    <t>当前项目正式家族</t>
  </si>
  <si>
    <t>运营等级数量</t>
  </si>
  <si>
    <t>含未开放占位等级</t>
  </si>
  <si>
    <t>生产档位行数</t>
  </si>
  <si>
    <t>伐木 5 行，捕鱼 4 行</t>
  </si>
  <si>
    <t>范围效果行数</t>
  </si>
  <si>
    <t>当前树木提供一条美化效果</t>
  </si>
  <si>
    <t>仓库等级行数</t>
  </si>
  <si>
    <t>LV1-LV3 均有仓库运营配置</t>
  </si>
  <si>
    <t>Style 待回填数</t>
  </si>
  <si>
    <t>美术回填不阻止数值导入</t>
  </si>
  <si>
    <t>新增仓库等级正式导入；必须与 Unity 导表器一致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</si>
</sst>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00"/>
    <numFmt numFmtId="178" formatCode="0.0%"/>
  </numFmts>
  <fonts count="28">
    <font>
      <sz val="11"/>
      <name val="Carlito"/>
      <charset val="134"/>
    </font>
    <font>
      <b/>
      <sz val="16"/>
      <color rgb="FFFFFFFF"/>
      <name val="Carlito"/>
      <charset val="134"/>
    </font>
    <font>
      <sz val="10"/>
      <color rgb="FF1F2937"/>
      <name val="Carlito"/>
      <charset val="134"/>
    </font>
    <font>
      <b/>
      <sz val="11"/>
      <color rgb="FFFFFFFF"/>
      <name val="Carlito"/>
      <charset val="134"/>
    </font>
    <font>
      <sz val="11"/>
      <color rgb="FF1F2937"/>
      <name val="Carlito"/>
      <charset val="134"/>
    </font>
    <font>
      <sz val="11"/>
      <color rgb="FF1F2937"/>
      <name val="宋体"/>
      <charset val="134"/>
    </font>
    <font>
      <b/>
      <sz val="11"/>
      <color rgb="FF203864"/>
      <name val="Carlito"/>
      <charset val="134"/>
    </font>
    <font>
      <b/>
      <sz val="11"/>
      <color rgb="FF4472C4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203864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203864"/>
      </left>
      <right/>
      <top style="thin">
        <color rgb="FF203864"/>
      </top>
      <bottom style="thin">
        <color rgb="FF203864"/>
      </bottom>
      <diagonal/>
    </border>
    <border>
      <left/>
      <right/>
      <top style="thin">
        <color rgb="FF203864"/>
      </top>
      <bottom style="thin">
        <color rgb="FF203864"/>
      </bottom>
      <diagonal/>
    </border>
    <border>
      <left/>
      <right style="thin">
        <color rgb="FF203864"/>
      </right>
      <top style="thin">
        <color rgb="FF203864"/>
      </top>
      <bottom style="thin">
        <color rgb="FF203864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9" borderId="1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18" applyNumberFormat="0" applyAlignment="0" applyProtection="0">
      <alignment vertical="center"/>
    </xf>
    <xf numFmtId="0" fontId="18" fillId="11" borderId="19" applyNumberFormat="0" applyAlignment="0" applyProtection="0">
      <alignment vertical="center"/>
    </xf>
    <xf numFmtId="0" fontId="19" fillId="11" borderId="18" applyNumberFormat="0" applyAlignment="0" applyProtection="0">
      <alignment vertical="center"/>
    </xf>
    <xf numFmtId="0" fontId="20" fillId="12" borderId="20" applyNumberFormat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0" fillId="0" borderId="0"/>
  </cellStyleXfs>
  <cellXfs count="42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2" fillId="3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vertical="center"/>
    </xf>
    <xf numFmtId="0" fontId="3" fillId="4" borderId="1" xfId="49" applyNumberFormat="1" applyFont="1" applyFill="1" applyBorder="1" applyAlignment="1">
      <alignment vertical="center" wrapText="1"/>
    </xf>
    <xf numFmtId="0" fontId="3" fillId="4" borderId="2" xfId="49" applyNumberFormat="1" applyFont="1" applyFill="1" applyBorder="1" applyAlignment="1">
      <alignment vertical="center" wrapText="1"/>
    </xf>
    <xf numFmtId="0" fontId="3" fillId="4" borderId="3" xfId="49" applyNumberFormat="1" applyFont="1" applyFill="1" applyBorder="1" applyAlignment="1">
      <alignment vertical="center" wrapText="1"/>
    </xf>
    <xf numFmtId="0" fontId="4" fillId="5" borderId="4" xfId="49" applyNumberFormat="1" applyFont="1" applyFill="1" applyBorder="1" applyAlignment="1">
      <alignment vertical="center"/>
    </xf>
    <xf numFmtId="1" fontId="4" fillId="6" borderId="4" xfId="49" applyNumberFormat="1" applyFont="1" applyFill="1" applyBorder="1" applyAlignment="1">
      <alignment vertical="center"/>
    </xf>
    <xf numFmtId="1" fontId="4" fillId="5" borderId="4" xfId="49" applyNumberFormat="1" applyFont="1" applyFill="1" applyBorder="1" applyAlignment="1">
      <alignment vertical="center"/>
    </xf>
    <xf numFmtId="0" fontId="4" fillId="6" borderId="4" xfId="49" applyNumberFormat="1" applyFont="1" applyFill="1" applyBorder="1" applyAlignment="1">
      <alignment vertical="center"/>
    </xf>
    <xf numFmtId="0" fontId="4" fillId="5" borderId="5" xfId="49" applyNumberFormat="1" applyFont="1" applyFill="1" applyBorder="1" applyAlignment="1">
      <alignment vertical="center"/>
    </xf>
    <xf numFmtId="1" fontId="4" fillId="6" borderId="5" xfId="49" applyNumberFormat="1" applyFont="1" applyFill="1" applyBorder="1" applyAlignment="1">
      <alignment vertical="center"/>
    </xf>
    <xf numFmtId="1" fontId="4" fillId="5" borderId="5" xfId="49" applyNumberFormat="1" applyFont="1" applyFill="1" applyBorder="1" applyAlignment="1">
      <alignment vertical="center"/>
    </xf>
    <xf numFmtId="0" fontId="4" fillId="6" borderId="5" xfId="49" applyNumberFormat="1" applyFont="1" applyFill="1" applyBorder="1" applyAlignment="1">
      <alignment vertical="center"/>
    </xf>
    <xf numFmtId="1" fontId="0" fillId="0" borderId="0" xfId="49" applyNumberFormat="1" applyFont="1" applyFill="1" applyBorder="1" applyAlignment="1">
      <alignment vertical="center"/>
    </xf>
    <xf numFmtId="0" fontId="5" fillId="5" borderId="4" xfId="49" applyNumberFormat="1" applyFont="1" applyFill="1" applyBorder="1" applyAlignment="1">
      <alignment vertical="center"/>
    </xf>
    <xf numFmtId="176" fontId="4" fillId="6" borderId="4" xfId="49" applyNumberFormat="1" applyFont="1" applyFill="1" applyBorder="1" applyAlignment="1">
      <alignment vertical="center"/>
    </xf>
    <xf numFmtId="176" fontId="0" fillId="0" borderId="0" xfId="49" applyNumberFormat="1" applyFont="1" applyFill="1" applyBorder="1" applyAlignment="1">
      <alignment vertical="center"/>
    </xf>
    <xf numFmtId="177" fontId="4" fillId="5" borderId="4" xfId="49" applyNumberFormat="1" applyFont="1" applyFill="1" applyBorder="1" applyAlignment="1">
      <alignment vertical="center"/>
    </xf>
    <xf numFmtId="178" fontId="4" fillId="6" borderId="4" xfId="49" applyNumberFormat="1" applyFont="1" applyFill="1" applyBorder="1" applyAlignment="1">
      <alignment vertical="center"/>
    </xf>
    <xf numFmtId="177" fontId="0" fillId="0" borderId="0" xfId="49" applyNumberFormat="1" applyFont="1" applyFill="1" applyBorder="1" applyAlignment="1">
      <alignment vertical="center"/>
    </xf>
    <xf numFmtId="2" fontId="4" fillId="5" borderId="4" xfId="49" applyNumberFormat="1" applyFont="1" applyFill="1" applyBorder="1" applyAlignment="1">
      <alignment vertical="center"/>
    </xf>
    <xf numFmtId="2" fontId="4" fillId="5" borderId="5" xfId="49" applyNumberFormat="1" applyFont="1" applyFill="1" applyBorder="1" applyAlignment="1">
      <alignment vertical="center"/>
    </xf>
    <xf numFmtId="2" fontId="0" fillId="0" borderId="0" xfId="49" applyNumberFormat="1" applyFont="1" applyFill="1" applyBorder="1" applyAlignment="1">
      <alignment vertical="center"/>
    </xf>
    <xf numFmtId="2" fontId="4" fillId="6" borderId="4" xfId="49" applyNumberFormat="1" applyFont="1" applyFill="1" applyBorder="1" applyAlignment="1">
      <alignment vertical="center"/>
    </xf>
    <xf numFmtId="2" fontId="4" fillId="6" borderId="5" xfId="49" applyNumberFormat="1" applyFont="1" applyFill="1" applyBorder="1" applyAlignment="1">
      <alignment vertical="center"/>
    </xf>
    <xf numFmtId="0" fontId="5" fillId="5" borderId="5" xfId="49" applyNumberFormat="1" applyFont="1" applyFill="1" applyBorder="1" applyAlignment="1">
      <alignment vertical="center"/>
    </xf>
    <xf numFmtId="0" fontId="3" fillId="7" borderId="0" xfId="49" applyNumberFormat="1" applyFont="1" applyFill="1" applyBorder="1" applyAlignment="1">
      <alignment vertical="center"/>
    </xf>
    <xf numFmtId="0" fontId="4" fillId="6" borderId="0" xfId="49" applyNumberFormat="1" applyFont="1" applyFill="1" applyBorder="1" applyAlignment="1">
      <alignment vertical="center" wrapText="1"/>
    </xf>
    <xf numFmtId="0" fontId="3" fillId="4" borderId="0" xfId="49" applyNumberFormat="1" applyFont="1" applyFill="1" applyBorder="1" applyAlignment="1">
      <alignment vertical="center"/>
    </xf>
    <xf numFmtId="0" fontId="6" fillId="3" borderId="6" xfId="49" applyNumberFormat="1" applyFont="1" applyFill="1" applyBorder="1" applyAlignment="1">
      <alignment vertical="center" wrapText="1"/>
    </xf>
    <xf numFmtId="0" fontId="4" fillId="8" borderId="7" xfId="49" applyNumberFormat="1" applyFont="1" applyFill="1" applyBorder="1" applyAlignment="1">
      <alignment vertical="center" wrapText="1"/>
    </xf>
    <xf numFmtId="0" fontId="4" fillId="8" borderId="8" xfId="49" applyNumberFormat="1" applyFont="1" applyFill="1" applyBorder="1" applyAlignment="1">
      <alignment vertical="center" wrapText="1"/>
    </xf>
    <xf numFmtId="0" fontId="6" fillId="3" borderId="9" xfId="49" applyNumberFormat="1" applyFont="1" applyFill="1" applyBorder="1" applyAlignment="1">
      <alignment vertical="center" wrapText="1"/>
    </xf>
    <xf numFmtId="0" fontId="4" fillId="8" borderId="10" xfId="49" applyNumberFormat="1" applyFont="1" applyFill="1" applyBorder="1" applyAlignment="1">
      <alignment vertical="center" wrapText="1"/>
    </xf>
    <xf numFmtId="0" fontId="4" fillId="8" borderId="11" xfId="49" applyNumberFormat="1" applyFont="1" applyFill="1" applyBorder="1" applyAlignment="1">
      <alignment vertical="center" wrapText="1"/>
    </xf>
    <xf numFmtId="0" fontId="6" fillId="3" borderId="12" xfId="49" applyNumberFormat="1" applyFont="1" applyFill="1" applyBorder="1" applyAlignment="1">
      <alignment vertical="center" wrapText="1"/>
    </xf>
    <xf numFmtId="0" fontId="4" fillId="8" borderId="13" xfId="49" applyNumberFormat="1" applyFont="1" applyFill="1" applyBorder="1" applyAlignment="1">
      <alignment vertical="center" wrapText="1"/>
    </xf>
    <xf numFmtId="0" fontId="4" fillId="8" borderId="14" xfId="49" applyNumberFormat="1" applyFont="1" applyFill="1" applyBorder="1" applyAlignment="1">
      <alignment vertical="center" wrapText="1"/>
    </xf>
    <xf numFmtId="0" fontId="7" fillId="3" borderId="0" xfId="49" applyNumberFormat="1" applyFont="1" applyFill="1" applyBorder="1" applyAlignment="1">
      <alignment horizontal="center" vertical="center" wrapText="1"/>
    </xf>
    <xf numFmtId="0" fontId="4" fillId="3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9C5700"/>
      </font>
      <fill>
        <patternFill patternType="solid">
          <bgColor rgb="FFFCE4D6"/>
        </patternFill>
      </fill>
    </dxf>
    <dxf>
      <font>
        <b val="1"/>
        <color rgb="FF9C0006"/>
      </font>
      <fill>
        <patternFill patternType="solid">
          <bgColor rgb="FFF4CC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BuildingFamilies" displayName="BuildingFamilies" ref="A4:S13" totalsRowShown="0">
  <autoFilter xmlns:etc="http://www.wps.cn/officeDocument/2017/etCustomData" ref="A4:S13" etc:filterBottomFollowUsedRange="0"/>
  <tableColumns count="19">
    <tableColumn id="1" name="FamilyId"/>
    <tableColumn id="2" name="名称"/>
    <tableColumn id="3" name="分类"/>
    <tableColumn id="4" name="SizeX"/>
    <tableColumn id="5" name="SizeY"/>
    <tableColumn id="6" name="忽略地形"/>
    <tableColumn id="7" name="地形Keys"/>
    <tableColumn id="8" name="移动阻力"/>
    <tableColumn id="9" name="施工回合"/>
    <tableColumn id="10" name="数量上限"/>
    <tableColumn id="11" name="数量限制分组ID"/>
    <tableColumn id="12" name="蓝图初始锁定"/>
    <tableColumn id="13" name="锁定时隐藏"/>
    <tableColumn id="14" name="菜单排序"/>
    <tableColumn id="15" name="开发完成"/>
    <tableColumn id="16" name="资源提供点"/>
    <tableColumn id="17" name="资源提供优先级"/>
    <tableColumn id="18" name="行动力预算"/>
    <tableColumn id="19" name="说明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PlacementCosts" displayName="PlacementCosts" ref="A4:D10" totalsRowShown="0">
  <autoFilter xmlns:etc="http://www.wps.cn/officeDocument/2017/etCustomData" ref="A4:D10" etc:filterBottomFollowUsedRange="0"/>
  <tableColumns count="4">
    <tableColumn id="1" name="FamilyId"/>
    <tableColumn id="2" name="ItemId"/>
    <tableColumn id="3" name="数量"/>
    <tableColumn id="4" name="说明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ConstructionCosts" displayName="ConstructionCosts" ref="A4:E10" totalsRowShown="0">
  <autoFilter xmlns:etc="http://www.wps.cn/officeDocument/2017/etCustomData" ref="A4:E10" etc:filterBottomFollowUsedRange="0"/>
  <tableColumns count="5">
    <tableColumn id="1" name="FamilyId"/>
    <tableColumn id="2" name="回合序号"/>
    <tableColumn id="3" name="ItemId"/>
    <tableColumn id="4" name="数量"/>
    <tableColumn id="5" name="说明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OperationalLevels" displayName="OperationalLevels" ref="A4:E23" totalsRowShown="0">
  <autoFilter xmlns:etc="http://www.wps.cn/officeDocument/2017/etCustomData" ref="A4:E23" etc:filterBottomFollowUsedRange="0"/>
  <tableColumns count="5">
    <tableColumn id="1" name="FamilyId"/>
    <tableColumn id="2" name="Level"/>
    <tableColumn id="3" name="开放"/>
    <tableColumn id="4" name="ConditionId"/>
    <tableColumn id="5" name="说明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UpgradeCosts" displayName="UpgradeCosts" ref="A4:E5" totalsRowShown="0">
  <autoFilter xmlns:etc="http://www.wps.cn/officeDocument/2017/etCustomData" ref="A4:E5" etc:filterBottomFollowUsedRange="0"/>
  <tableColumns count="5">
    <tableColumn id="1" name="FamilyId"/>
    <tableColumn id="2" name="目标Level"/>
    <tableColumn id="3" name="ItemId"/>
    <tableColumn id="4" name="数量"/>
    <tableColumn id="5" name="说明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6" name="FixedPopulationLevels" displayName="FixedPopulationLevels" ref="A4:D8" totalsRowShown="0">
  <autoFilter xmlns:etc="http://www.wps.cn/officeDocument/2017/etCustomData" ref="A4:D8" etc:filterBottomFollowUsedRange="0"/>
  <tableColumns count="4">
    <tableColumn id="1" name="FamilyId"/>
    <tableColumn id="2" name="Level"/>
    <tableColumn id="3" name="提供人口"/>
    <tableColumn id="4" name="校验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id="7" name="InventoryCapacityLevels" displayName="InventoryCapacityLevels" ref="A4:D8" totalsRowShown="0">
  <autoFilter xmlns:etc="http://www.wps.cn/officeDocument/2017/etCustomData" ref="A4:D8" etc:filterBottomFollowUsedRange="0"/>
  <tableColumns count="4">
    <tableColumn id="1" name="FamilyId"/>
    <tableColumn id="2" name="Level"/>
    <tableColumn id="3" name="提供库存格"/>
    <tableColumn id="4" name="校验"/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id="8" name="TechnologyPointLevels" displayName="TechnologyPointLevels" ref="A4:D8" totalsRowShown="0">
  <autoFilter xmlns:etc="http://www.wps.cn/officeDocument/2017/etCustomData" ref="A4:D8" etc:filterBottomFollowUsedRange="0"/>
  <tableColumns count="4">
    <tableColumn id="1" name="FamilyId"/>
    <tableColumn id="2" name="Level"/>
    <tableColumn id="3" name="科技点/回合"/>
    <tableColumn id="4" name="校验"/>
  </tableColumns>
  <tableStyleInfo name="TableStyleMedium2" showFirstColumn="0" showLastColumn="0" showRowStripes="0" showColumnStripes="0"/>
</table>
</file>

<file path=xl/tables/table9.xml><?xml version="1.0" encoding="utf-8"?>
<table xmlns="http://schemas.openxmlformats.org/spreadsheetml/2006/main" id="9" name="ResidentialLevels" displayName="ResidentialLevels" ref="A4:K8" totalsRowShown="0">
  <autoFilter xmlns:etc="http://www.wps.cn/officeDocument/2017/etCustomData" ref="A4:K8" etc:filterBottomFollowUsedRange="0"/>
  <tableColumns count="11">
    <tableColumn id="1" name="FamilyId"/>
    <tableColumn id="2" name="Level"/>
    <tableColumn id="3" name="初始人口"/>
    <tableColumn id="4" name="人口上限"/>
    <tableColumn id="5" name="FoodItemId"/>
    <tableColumn id="6" name="增长回合"/>
    <tableColumn id="7" name="失败衰减阈值"/>
    <tableColumn id="8" name="TaxItemId"/>
    <tableColumn id="9" name="税收回合"/>
    <tableColumn id="10" name="满人口食物/回合"/>
    <tableColumn id="11" name="校验"/>
  </tableColumns>
  <tableStyleInfo name="TableStyleMedium2" showFirstColumn="0" showLastColumn="0" showRowStripes="0" showColumnStripes="0"/>
</table>
</file>

<file path=xl/tables/table10.xml><?xml version="1.0" encoding="utf-8"?>
<table xmlns="http://schemas.openxmlformats.org/spreadsheetml/2006/main" id="10" name="WorkforceLevels" displayName="WorkforceLevels" ref="A4:J13" totalsRowShown="0">
  <autoFilter xmlns:etc="http://www.wps.cn/officeDocument/2017/etCustomData" ref="A4:J13" etc:filterBottomFollowUsedRange="0"/>
  <tableColumns count="10">
    <tableColumn id="1" name="FamilyId"/>
    <tableColumn id="2" name="Level"/>
    <tableColumn id="3" name="最大工人"/>
    <tableColumn id="4" name="初始工人"/>
    <tableColumn id="5" name="基础吸引力"/>
    <tableColumn id="6" name="招工金币"/>
    <tableColumn id="7" name="自动补贴"/>
    <tableColumn id="8" name="稳定目标工人"/>
    <tableColumn id="9" name="GoldItemId"/>
    <tableColumn id="10" name="校验"/>
  </tableColumns>
  <tableStyleInfo name="TableStyleMedium2" showFirstColumn="0" showLastColumn="0" showRowStripes="0" showColumnStripes="0"/>
</table>
</file>

<file path=xl/tables/table11.xml><?xml version="1.0" encoding="utf-8"?>
<table xmlns="http://schemas.openxmlformats.org/spreadsheetml/2006/main" id="11" name="ProductionLevels" displayName="ProductionLevels" ref="A4:H13" totalsRowShown="0">
  <autoFilter xmlns:etc="http://www.wps.cn/officeDocument/2017/etCustomData" ref="A4:H13" etc:filterBottomFollowUsedRange="0"/>
  <tableColumns count="8">
    <tableColumn id="1" name="FamilyId"/>
    <tableColumn id="2" name="Level"/>
    <tableColumn id="3" name="OutputItemId"/>
    <tableColumn id="4" name="工人阈值"/>
    <tableColumn id="5" name="产量/周期"/>
    <tableColumn id="6" name="周期回合"/>
    <tableColumn id="7" name="产量/回合"/>
    <tableColumn id="8" name="校验"/>
  </tableColumns>
  <tableStyleInfo name="TableStyleMedium2" showFirstColumn="0" showLastColumn="0" showRowStripes="0" showColumnStripes="0"/>
</table>
</file>

<file path=xl/tables/table12.xml><?xml version="1.0" encoding="utf-8"?>
<table xmlns="http://schemas.openxmlformats.org/spreadsheetml/2006/main" id="12" name="FishingRareLevels" displayName="FishingRareLevels" ref="A4:H6" totalsRowShown="0">
  <autoFilter xmlns:etc="http://www.wps.cn/officeDocument/2017/etCustomData" ref="A4:H6" etc:filterBottomFollowUsedRange="0"/>
  <tableColumns count="8">
    <tableColumn id="1" name="FamilyId"/>
    <tableColumn id="2" name="Level"/>
    <tableColumn id="3" name="启用"/>
    <tableColumn id="4" name="ItemId"/>
    <tableColumn id="5" name="最低工人"/>
    <tableColumn id="6" name="概率%"/>
    <tableColumn id="7" name="数量"/>
    <tableColumn id="8" name="校验"/>
  </tableColumns>
  <tableStyleInfo name="TableStyleMedium2" showFirstColumn="0" showLastColumn="0" showRowStripes="0" showColumnStripes="0"/>
</table>
</file>

<file path=xl/tables/table13.xml><?xml version="1.0" encoding="utf-8"?>
<table xmlns="http://schemas.openxmlformats.org/spreadsheetml/2006/main" id="13" name="WarehouseLevels" displayName="WarehouseLevels" ref="A4:M7" totalsRowShown="0">
  <autoFilter xmlns:etc="http://www.wps.cn/officeDocument/2017/etCustomData" ref="A4:M7" etc:filterBottomFollowUsedRange="0"/>
  <tableColumns count="13">
    <tableColumn id="1" name="FamilyId"/>
    <tableColumn id="2" name="Level"/>
    <tableColumn id="3" name="容量所需工人"/>
    <tableColumn id="4" name="基础库存格"/>
    <tableColumn id="5" name="MaintenanceItemId"/>
    <tableColumn id="6" name="维护费/回合"/>
    <tableColumn id="7" name="经验所需工人"/>
    <tableColumn id="8" name="经验/回合"/>
    <tableColumn id="9" name="下级经验要求"/>
    <tableColumn id="10" name="奖励工人阈值"/>
    <tableColumn id="11" name="奖励库存格"/>
    <tableColumn id="12" name="维护失败吸引力惩罚"/>
    <tableColumn id="13" name="校验"/>
  </tableColumns>
  <tableStyleInfo name="TableStyleMedium2" showFirstColumn="0" showLastColumn="0" showRowStripes="0" showColumnStripes="0"/>
</table>
</file>

<file path=xl/tables/table14.xml><?xml version="1.0" encoding="utf-8"?>
<table xmlns="http://schemas.openxmlformats.org/spreadsheetml/2006/main" id="14" name="MarketModule" displayName="MarketModule" ref="A4:E5" totalsRowShown="0">
  <autoFilter xmlns:etc="http://www.wps.cn/officeDocument/2017/etCustomData" ref="A4:E5" etc:filterBottomFollowUsedRange="0"/>
  <tableColumns count="5">
    <tableColumn id="1" name="FamilyId"/>
    <tableColumn id="2" name="GoldItemId"/>
    <tableColumn id="3" name="价值结算比例"/>
    <tableColumn id="4" name="显示比例"/>
    <tableColumn id="5" name="校验"/>
  </tableColumns>
  <tableStyleInfo name="TableStyleMedium2" showFirstColumn="0" showLastColumn="0" showRowStripes="0" showColumnStripes="0"/>
</table>
</file>

<file path=xl/tables/table15.xml><?xml version="1.0" encoding="utf-8"?>
<table xmlns="http://schemas.openxmlformats.org/spreadsheetml/2006/main" id="15" name="TreeModule" displayName="TreeModule" ref="A4:K5" totalsRowShown="0">
  <autoFilter xmlns:etc="http://www.wps.cn/officeDocument/2017/etCustomData" ref="A4:K5" etc:filterBottomFollowUsedRange="0"/>
  <tableColumns count="11">
    <tableColumn id="1" name="FamilyId"/>
    <tableColumn id="2" name="最低生命"/>
    <tableColumn id="3" name="最高生命"/>
    <tableColumn id="4" name="双击伤害"/>
    <tableColumn id="5" name="WoodItemId"/>
    <tableColumn id="6" name="原木奖励"/>
    <tableColumn id="7" name="SaplingItemId"/>
    <tableColumn id="8" name="树苗奖励"/>
    <tableColumn id="9" name="平均生命"/>
    <tableColumn id="10" name="预计双击次数"/>
    <tableColumn id="11" name="校验"/>
  </tableColumns>
  <tableStyleInfo name="TableStyleMedium2" showFirstColumn="0" showLastColumn="0" showRowStripes="0" showColumnStripes="0"/>
</table>
</file>

<file path=xl/tables/table16.xml><?xml version="1.0" encoding="utf-8"?>
<table xmlns="http://schemas.openxmlformats.org/spreadsheetml/2006/main" id="16" name="SpatialEffectModule" displayName="SpatialEffectModule" ref="A4:K5" totalsRowShown="0">
  <autoFilter xmlns:etc="http://www.wps.cn/officeDocument/2017/etCustomData" ref="A4:K5" etc:filterBottomFollowUsedRange="0"/>
  <tableColumns count="11">
    <tableColumn id="1" name="FamilyId"/>
    <tableColumn id="2" name="EffectId"/>
    <tableColumn id="3" name="显示名"/>
    <tableColumn id="4" name="Kind"/>
    <tableColumn id="5" name="TargetFilter"/>
    <tableColumn id="6" name="曼哈顿半径"/>
    <tableColumn id="7" name="效果数值"/>
    <tableColumn id="8" name="StackingRule"/>
    <tableColumn id="9" name="影响自身占地"/>
    <tableColumn id="10" name="覆盖格说明"/>
    <tableColumn id="11" name="校验"/>
  </tableColumns>
  <tableStyleInfo name="TableStyleMedium2" showFirstColumn="0" showLastColumn="0" showRowStripes="0" showColumnStripes="0"/>
</table>
</file>

<file path=xl/tables/table17.xml><?xml version="1.0" encoding="utf-8"?>
<table xmlns="http://schemas.openxmlformats.org/spreadsheetml/2006/main" id="17" name="VisualStyleChecklist" displayName="VisualStyleChecklist" ref="A4:F12" totalsRowShown="0">
  <autoFilter xmlns:etc="http://www.wps.cn/officeDocument/2017/etCustomData" ref="A4:F12" etc:filterBottomFollowUsedRange="0"/>
  <tableColumns count="6">
    <tableColumn id="1" name="FamilyId"/>
    <tableColumn id="2" name="StyleId"/>
    <tableColumn id="3" name="菜单名称"/>
    <tableColumn id="4" name="IconAssetPath"/>
    <tableColumn id="5" name="LV1ViewAssetPath"/>
    <tableColumn id="6" name="回填状态"/>
  </tableColumns>
  <tableStyleInfo name="TableStyleMedium2" showFirstColumn="0" showLastColumn="0" showRowStripes="0" showColumnStripes="0"/>
</table>
</file>

<file path=xl/tables/table18.xml><?xml version="1.0" encoding="utf-8"?>
<table xmlns="http://schemas.openxmlformats.org/spreadsheetml/2006/main" id="18" name="ImportDictionary" displayName="ImportDictionary" ref="A4:E39" totalsRowShown="0">
  <autoFilter xmlns:etc="http://www.wps.cn/officeDocument/2017/etCustomData" ref="A4:E39" etc:filterBottomFollowUsedRange="0"/>
  <tableColumns count="5">
    <tableColumn id="1" name="类型"/>
    <tableColumn id="2" name="稳定ID/名称"/>
    <tableColumn id="3" name="显示说明"/>
    <tableColumn id="4" name="Unity 解析目标"/>
    <tableColumn id="5" name="是否导入"/>
  </tableColumns>
  <tableStyleInfo name="TableStyleMedium2" showFirstColumn="0" showLastColumn="0" showRowStripes="0" showColumnStripes="0"/>
</table>
</file>

<file path=xl/tables/table19.xml><?xml version="1.0" encoding="utf-8"?>
<table xmlns="http://schemas.openxmlformats.org/spreadsheetml/2006/main" id="19" name="WorkbookSummary" displayName="WorkbookSummary" ref="A4:E11" totalsRowShown="0">
  <autoFilter xmlns:etc="http://www.wps.cn/officeDocument/2017/etCustomData" ref="A4:E11" etc:filterBottomFollowUsedRange="0"/>
  <tableColumns count="5">
    <tableColumn id="1" name="检查项"/>
    <tableColumn id="2" name="当前值"/>
    <tableColumn id="3" name="基准/规则"/>
    <tableColumn id="4" name="状态"/>
    <tableColumn id="5" name="说明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showGridLines="0" workbookViewId="0">
      <selection activeCell="A1" sqref="A1:H1"/>
    </sheetView>
  </sheetViews>
  <sheetFormatPr defaultColWidth="9" defaultRowHeight="14" outlineLevelCol="7"/>
  <cols>
    <col min="1" max="1" width="18" customWidth="1"/>
    <col min="2" max="2" width="28" customWidth="1"/>
    <col min="3" max="8" width="18" customWidth="1"/>
  </cols>
  <sheetData>
    <row r="1" ht="30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8" customHeight="1" spans="1:8">
      <c r="A2" s="2" t="s">
        <v>1</v>
      </c>
      <c r="B2" s="2"/>
      <c r="C2" s="2"/>
      <c r="D2" s="2"/>
      <c r="E2" s="2"/>
      <c r="F2" s="2"/>
      <c r="G2" s="2"/>
      <c r="H2" s="2"/>
    </row>
    <row r="3" spans="1:8">
      <c r="A3" s="3"/>
      <c r="B3" s="3"/>
      <c r="C3" s="3"/>
      <c r="D3" s="3"/>
      <c r="E3" s="3"/>
      <c r="F3" s="3"/>
      <c r="G3" s="3"/>
      <c r="H3" s="3"/>
    </row>
    <row r="4" spans="1:8">
      <c r="A4" s="28" t="s">
        <v>2</v>
      </c>
      <c r="B4" s="29">
        <v>4</v>
      </c>
      <c r="C4" s="3"/>
      <c r="D4" s="3"/>
      <c r="E4" s="3"/>
      <c r="F4" s="3"/>
      <c r="G4" s="3"/>
      <c r="H4" s="3"/>
    </row>
    <row r="5" ht="42" spans="1:8">
      <c r="A5" s="28" t="s">
        <v>3</v>
      </c>
      <c r="B5" s="29" t="s">
        <v>4</v>
      </c>
      <c r="C5" s="3"/>
      <c r="D5" s="3"/>
      <c r="E5" s="3"/>
      <c r="F5" s="3"/>
      <c r="G5" s="3"/>
      <c r="H5" s="3"/>
    </row>
    <row r="6" spans="1:8">
      <c r="A6" s="28" t="s">
        <v>5</v>
      </c>
      <c r="B6" s="29">
        <f>COUNTA(建筑家族!A5:A24)</f>
        <v>9</v>
      </c>
      <c r="C6" s="3"/>
      <c r="D6" s="3"/>
      <c r="E6" s="3"/>
      <c r="F6" s="3"/>
      <c r="G6" s="3"/>
      <c r="H6" s="3"/>
    </row>
    <row r="7" spans="1:8">
      <c r="A7" s="28" t="s">
        <v>6</v>
      </c>
      <c r="B7" s="29">
        <f>COUNTA(运营等级!A5:A24)</f>
        <v>19</v>
      </c>
      <c r="C7" s="3"/>
      <c r="D7" s="3"/>
      <c r="E7" s="3"/>
      <c r="F7" s="3"/>
      <c r="G7" s="3"/>
      <c r="H7" s="3"/>
    </row>
    <row r="8" ht="42" spans="1:8">
      <c r="A8" s="28" t="s">
        <v>7</v>
      </c>
      <c r="B8" s="29" t="s">
        <v>8</v>
      </c>
      <c r="C8" s="3"/>
      <c r="D8" s="3"/>
      <c r="E8" s="3"/>
      <c r="F8" s="3"/>
      <c r="G8" s="3"/>
      <c r="H8" s="3"/>
    </row>
    <row r="9" spans="1:8">
      <c r="A9" s="3"/>
      <c r="B9" s="3"/>
      <c r="C9" s="3"/>
      <c r="D9" s="3"/>
      <c r="E9" s="3"/>
      <c r="F9" s="3"/>
      <c r="G9" s="3"/>
      <c r="H9" s="3"/>
    </row>
    <row r="10" spans="1:8">
      <c r="A10" s="30" t="s">
        <v>9</v>
      </c>
      <c r="B10" s="30"/>
      <c r="C10" s="30"/>
      <c r="D10" s="30"/>
      <c r="E10" s="30"/>
      <c r="F10" s="30"/>
      <c r="G10" s="30"/>
      <c r="H10" s="30"/>
    </row>
    <row r="11" spans="1:8">
      <c r="A11" s="31" t="s">
        <v>10</v>
      </c>
      <c r="B11" s="32" t="s">
        <v>11</v>
      </c>
      <c r="C11" s="32"/>
      <c r="D11" s="32"/>
      <c r="E11" s="32"/>
      <c r="F11" s="32"/>
      <c r="G11" s="32"/>
      <c r="H11" s="33"/>
    </row>
    <row r="12" spans="1:8">
      <c r="A12" s="34" t="s">
        <v>12</v>
      </c>
      <c r="B12" s="35" t="s">
        <v>13</v>
      </c>
      <c r="C12" s="35"/>
      <c r="D12" s="35"/>
      <c r="E12" s="35"/>
      <c r="F12" s="35"/>
      <c r="G12" s="35"/>
      <c r="H12" s="36"/>
    </row>
    <row r="13" spans="1:8">
      <c r="A13" s="34" t="s">
        <v>14</v>
      </c>
      <c r="B13" s="35" t="s">
        <v>15</v>
      </c>
      <c r="C13" s="35"/>
      <c r="D13" s="35"/>
      <c r="E13" s="35"/>
      <c r="F13" s="35"/>
      <c r="G13" s="35"/>
      <c r="H13" s="36"/>
    </row>
    <row r="14" spans="1:8">
      <c r="A14" s="34" t="s">
        <v>16</v>
      </c>
      <c r="B14" s="35" t="s">
        <v>17</v>
      </c>
      <c r="C14" s="35"/>
      <c r="D14" s="35"/>
      <c r="E14" s="35"/>
      <c r="F14" s="35"/>
      <c r="G14" s="35"/>
      <c r="H14" s="36"/>
    </row>
    <row r="15" spans="1:8">
      <c r="A15" s="34" t="s">
        <v>18</v>
      </c>
      <c r="B15" s="35" t="s">
        <v>19</v>
      </c>
      <c r="C15" s="35"/>
      <c r="D15" s="35"/>
      <c r="E15" s="35"/>
      <c r="F15" s="35"/>
      <c r="G15" s="35"/>
      <c r="H15" s="36"/>
    </row>
    <row r="16" spans="1:8">
      <c r="A16" s="37" t="s">
        <v>20</v>
      </c>
      <c r="B16" s="38" t="s">
        <v>21</v>
      </c>
      <c r="C16" s="38"/>
      <c r="D16" s="38"/>
      <c r="E16" s="38"/>
      <c r="F16" s="38"/>
      <c r="G16" s="38"/>
      <c r="H16" s="39"/>
    </row>
    <row r="17" spans="1:8">
      <c r="A17" s="3"/>
      <c r="B17" s="3"/>
      <c r="C17" s="3"/>
      <c r="D17" s="3"/>
      <c r="E17" s="3"/>
      <c r="F17" s="3"/>
      <c r="G17" s="3"/>
      <c r="H17" s="3"/>
    </row>
    <row r="18" spans="1:8">
      <c r="A18" s="30" t="s">
        <v>22</v>
      </c>
      <c r="B18" s="30"/>
      <c r="C18" s="30"/>
      <c r="D18" s="30"/>
      <c r="E18" s="30"/>
      <c r="F18" s="30"/>
      <c r="G18" s="30"/>
      <c r="H18" s="30"/>
    </row>
    <row r="19" spans="1:8">
      <c r="A19" s="40" t="s">
        <v>23</v>
      </c>
      <c r="B19" s="41" t="s">
        <v>24</v>
      </c>
      <c r="C19" s="41"/>
      <c r="D19" s="41"/>
      <c r="E19" s="41"/>
      <c r="F19" s="41"/>
      <c r="G19" s="41"/>
      <c r="H19" s="41"/>
    </row>
    <row r="20" spans="1:8">
      <c r="A20" s="40" t="s">
        <v>25</v>
      </c>
      <c r="B20" s="41" t="s">
        <v>26</v>
      </c>
      <c r="C20" s="41"/>
      <c r="D20" s="41"/>
      <c r="E20" s="41"/>
      <c r="F20" s="41"/>
      <c r="G20" s="41"/>
      <c r="H20" s="41"/>
    </row>
    <row r="21" spans="1:8">
      <c r="A21" s="40" t="s">
        <v>27</v>
      </c>
      <c r="B21" s="41" t="s">
        <v>28</v>
      </c>
      <c r="C21" s="41"/>
      <c r="D21" s="41"/>
      <c r="E21" s="41"/>
      <c r="F21" s="41"/>
      <c r="G21" s="41"/>
      <c r="H21" s="41"/>
    </row>
    <row r="22" spans="1:8">
      <c r="A22" s="40" t="s">
        <v>29</v>
      </c>
      <c r="B22" s="41" t="s">
        <v>30</v>
      </c>
      <c r="C22" s="41"/>
      <c r="D22" s="41"/>
      <c r="E22" s="41"/>
      <c r="F22" s="41"/>
      <c r="G22" s="41"/>
      <c r="H22" s="41"/>
    </row>
    <row r="23" spans="1:8">
      <c r="A23" s="40" t="s">
        <v>31</v>
      </c>
      <c r="B23" s="41" t="s">
        <v>32</v>
      </c>
      <c r="C23" s="41"/>
      <c r="D23" s="41"/>
      <c r="E23" s="41"/>
      <c r="F23" s="41"/>
      <c r="G23" s="41"/>
      <c r="H23" s="41"/>
    </row>
  </sheetData>
  <mergeCells count="15">
    <mergeCell ref="A1:H1"/>
    <mergeCell ref="A2:H2"/>
    <mergeCell ref="A10:H10"/>
    <mergeCell ref="B11:H11"/>
    <mergeCell ref="B12:H12"/>
    <mergeCell ref="B13:H13"/>
    <mergeCell ref="B14:H14"/>
    <mergeCell ref="B15:H15"/>
    <mergeCell ref="B16:H16"/>
    <mergeCell ref="A18:H18"/>
    <mergeCell ref="B19:H19"/>
    <mergeCell ref="B20:H20"/>
    <mergeCell ref="B21:H21"/>
    <mergeCell ref="B22:H22"/>
    <mergeCell ref="B23:H2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4"/>
  <sheetViews>
    <sheetView showGridLines="0" workbookViewId="0">
      <selection activeCell="C19" sqref="C19"/>
    </sheetView>
  </sheetViews>
  <sheetFormatPr defaultColWidth="9" defaultRowHeight="14"/>
  <cols>
    <col min="1" max="1" width="28" customWidth="1"/>
    <col min="2" max="3" width="14" customWidth="1"/>
    <col min="4" max="5" width="8" customWidth="1"/>
    <col min="6" max="6" width="11" customWidth="1"/>
    <col min="7" max="7" width="16" customWidth="1"/>
    <col min="8" max="10" width="11" customWidth="1"/>
    <col min="11" max="11" width="28" customWidth="1"/>
    <col min="12" max="12" width="14" customWidth="1"/>
    <col min="13" max="13" width="13" customWidth="1"/>
    <col min="14" max="14" width="10" customWidth="1"/>
    <col min="15" max="15" width="11" customWidth="1"/>
    <col min="16" max="16" width="12" customWidth="1"/>
    <col min="17" max="17" width="17" customWidth="1"/>
    <col min="18" max="18" width="12" customWidth="1"/>
    <col min="19" max="19" width="42" customWidth="1"/>
  </cols>
  <sheetData>
    <row r="1" ht="30" customHeight="1" spans="1:19">
      <c r="A1" s="1" t="s">
        <v>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38" customHeight="1" spans="1:19">
      <c r="A2" s="2" t="s">
        <v>34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ht="30" customHeight="1" spans="1:19">
      <c r="A4" s="4" t="s">
        <v>35</v>
      </c>
      <c r="B4" s="5" t="s">
        <v>36</v>
      </c>
      <c r="C4" s="5" t="s">
        <v>37</v>
      </c>
      <c r="D4" s="5" t="s">
        <v>38</v>
      </c>
      <c r="E4" s="5" t="s">
        <v>39</v>
      </c>
      <c r="F4" s="5" t="s">
        <v>40</v>
      </c>
      <c r="G4" s="5" t="s">
        <v>41</v>
      </c>
      <c r="H4" s="5" t="s">
        <v>42</v>
      </c>
      <c r="I4" s="5" t="s">
        <v>43</v>
      </c>
      <c r="J4" s="5" t="s">
        <v>44</v>
      </c>
      <c r="K4" s="5" t="s">
        <v>45</v>
      </c>
      <c r="L4" s="5" t="s">
        <v>46</v>
      </c>
      <c r="M4" s="5" t="s">
        <v>47</v>
      </c>
      <c r="N4" s="5" t="s">
        <v>48</v>
      </c>
      <c r="O4" s="5" t="s">
        <v>49</v>
      </c>
      <c r="P4" s="5" t="s">
        <v>50</v>
      </c>
      <c r="Q4" s="5" t="s">
        <v>51</v>
      </c>
      <c r="R4" s="5" t="s">
        <v>52</v>
      </c>
      <c r="S4" s="6" t="s">
        <v>53</v>
      </c>
    </row>
    <row r="5" spans="1:19">
      <c r="A5" s="7" t="s">
        <v>54</v>
      </c>
      <c r="B5" s="7" t="s">
        <v>55</v>
      </c>
      <c r="C5" s="7" t="s">
        <v>56</v>
      </c>
      <c r="D5" s="9">
        <v>4</v>
      </c>
      <c r="E5" s="9">
        <v>4</v>
      </c>
      <c r="F5" s="7" t="s">
        <v>57</v>
      </c>
      <c r="G5" s="7" t="s">
        <v>58</v>
      </c>
      <c r="H5" s="9">
        <v>0</v>
      </c>
      <c r="I5" s="9">
        <v>1</v>
      </c>
      <c r="J5" s="9">
        <v>1</v>
      </c>
      <c r="K5" s="7" t="s">
        <v>54</v>
      </c>
      <c r="L5" s="7" t="s">
        <v>57</v>
      </c>
      <c r="M5" s="7" t="s">
        <v>57</v>
      </c>
      <c r="N5" s="9">
        <v>0</v>
      </c>
      <c r="O5" s="7" t="s">
        <v>59</v>
      </c>
      <c r="P5" s="7" t="s">
        <v>59</v>
      </c>
      <c r="Q5" s="9">
        <v>0</v>
      </c>
      <c r="R5" s="9">
        <v>100</v>
      </c>
      <c r="S5" s="7" t="s">
        <v>60</v>
      </c>
    </row>
    <row r="6" spans="1:19">
      <c r="A6" s="11" t="s">
        <v>61</v>
      </c>
      <c r="B6" s="11" t="s">
        <v>62</v>
      </c>
      <c r="C6" s="11" t="s">
        <v>63</v>
      </c>
      <c r="D6" s="13">
        <v>1</v>
      </c>
      <c r="E6" s="13">
        <v>1</v>
      </c>
      <c r="F6" s="11" t="s">
        <v>57</v>
      </c>
      <c r="G6" s="11" t="s">
        <v>58</v>
      </c>
      <c r="H6" s="13">
        <v>0</v>
      </c>
      <c r="I6" s="13">
        <v>3</v>
      </c>
      <c r="J6" s="13">
        <v>99</v>
      </c>
      <c r="K6" s="11" t="s">
        <v>61</v>
      </c>
      <c r="L6" s="11" t="s">
        <v>57</v>
      </c>
      <c r="M6" s="11" t="s">
        <v>57</v>
      </c>
      <c r="N6" s="13">
        <v>0</v>
      </c>
      <c r="O6" s="11" t="s">
        <v>59</v>
      </c>
      <c r="P6" s="11" t="s">
        <v>57</v>
      </c>
      <c r="Q6" s="13">
        <v>0</v>
      </c>
      <c r="R6" s="13">
        <v>100</v>
      </c>
      <c r="S6" s="11" t="s">
        <v>64</v>
      </c>
    </row>
    <row r="7" spans="1:19">
      <c r="A7" s="11" t="s">
        <v>65</v>
      </c>
      <c r="B7" s="11" t="s">
        <v>66</v>
      </c>
      <c r="C7" s="11" t="s">
        <v>67</v>
      </c>
      <c r="D7" s="13">
        <v>1</v>
      </c>
      <c r="E7" s="13">
        <v>1</v>
      </c>
      <c r="F7" s="11" t="s">
        <v>57</v>
      </c>
      <c r="G7" s="11" t="s">
        <v>58</v>
      </c>
      <c r="H7" s="13">
        <v>0</v>
      </c>
      <c r="I7" s="13">
        <v>1</v>
      </c>
      <c r="J7" s="13">
        <v>0</v>
      </c>
      <c r="K7" s="11" t="s">
        <v>65</v>
      </c>
      <c r="L7" s="11" t="s">
        <v>59</v>
      </c>
      <c r="M7" s="11" t="s">
        <v>59</v>
      </c>
      <c r="N7" s="13">
        <v>0</v>
      </c>
      <c r="O7" s="11" t="s">
        <v>59</v>
      </c>
      <c r="P7" s="11" t="s">
        <v>57</v>
      </c>
      <c r="Q7" s="13">
        <v>0</v>
      </c>
      <c r="R7" s="13">
        <v>100</v>
      </c>
      <c r="S7" s="11" t="s">
        <v>68</v>
      </c>
    </row>
    <row r="8" spans="1:19">
      <c r="A8" s="11" t="s">
        <v>69</v>
      </c>
      <c r="B8" s="11" t="s">
        <v>70</v>
      </c>
      <c r="C8" s="11" t="s">
        <v>71</v>
      </c>
      <c r="D8" s="13">
        <v>2</v>
      </c>
      <c r="E8" s="13">
        <v>2</v>
      </c>
      <c r="F8" s="11" t="s">
        <v>57</v>
      </c>
      <c r="G8" s="11" t="s">
        <v>58</v>
      </c>
      <c r="H8" s="13">
        <v>0</v>
      </c>
      <c r="I8" s="13">
        <v>1</v>
      </c>
      <c r="J8" s="13">
        <v>0</v>
      </c>
      <c r="K8" s="11" t="s">
        <v>69</v>
      </c>
      <c r="L8" s="11" t="s">
        <v>57</v>
      </c>
      <c r="M8" s="11" t="s">
        <v>57</v>
      </c>
      <c r="N8" s="13">
        <v>0</v>
      </c>
      <c r="O8" s="11" t="s">
        <v>57</v>
      </c>
      <c r="P8" s="11" t="s">
        <v>57</v>
      </c>
      <c r="Q8" s="13">
        <v>0</v>
      </c>
      <c r="R8" s="13">
        <v>100</v>
      </c>
      <c r="S8" s="11" t="s">
        <v>72</v>
      </c>
    </row>
    <row r="9" spans="1:19">
      <c r="A9" s="11" t="s">
        <v>73</v>
      </c>
      <c r="B9" s="11" t="s">
        <v>74</v>
      </c>
      <c r="C9" s="11" t="s">
        <v>71</v>
      </c>
      <c r="D9" s="13">
        <v>2</v>
      </c>
      <c r="E9" s="13">
        <v>2</v>
      </c>
      <c r="F9" s="11" t="s">
        <v>57</v>
      </c>
      <c r="G9" s="11" t="s">
        <v>58</v>
      </c>
      <c r="H9" s="13">
        <v>0</v>
      </c>
      <c r="I9" s="13">
        <v>1</v>
      </c>
      <c r="J9" s="13">
        <v>0</v>
      </c>
      <c r="K9" s="11" t="s">
        <v>73</v>
      </c>
      <c r="L9" s="11" t="s">
        <v>57</v>
      </c>
      <c r="M9" s="11" t="s">
        <v>57</v>
      </c>
      <c r="N9" s="13">
        <v>0</v>
      </c>
      <c r="O9" s="11" t="s">
        <v>59</v>
      </c>
      <c r="P9" s="11" t="s">
        <v>57</v>
      </c>
      <c r="Q9" s="13">
        <v>0</v>
      </c>
      <c r="R9" s="13">
        <v>100</v>
      </c>
      <c r="S9" s="11" t="s">
        <v>75</v>
      </c>
    </row>
    <row r="10" spans="1:19">
      <c r="A10" s="11" t="s">
        <v>76</v>
      </c>
      <c r="B10" s="11" t="s">
        <v>77</v>
      </c>
      <c r="C10" s="11" t="s">
        <v>78</v>
      </c>
      <c r="D10" s="13">
        <v>1</v>
      </c>
      <c r="E10" s="13">
        <v>1</v>
      </c>
      <c r="F10" s="11" t="s">
        <v>57</v>
      </c>
      <c r="G10" s="11" t="s">
        <v>58</v>
      </c>
      <c r="H10" s="13">
        <v>0</v>
      </c>
      <c r="I10" s="13">
        <v>1</v>
      </c>
      <c r="J10" s="13">
        <v>0</v>
      </c>
      <c r="K10" s="11" t="s">
        <v>76</v>
      </c>
      <c r="L10" s="11" t="s">
        <v>57</v>
      </c>
      <c r="M10" s="11" t="s">
        <v>57</v>
      </c>
      <c r="N10" s="13">
        <v>0</v>
      </c>
      <c r="O10" s="11" t="s">
        <v>59</v>
      </c>
      <c r="P10" s="11" t="s">
        <v>59</v>
      </c>
      <c r="Q10" s="13">
        <v>10</v>
      </c>
      <c r="R10" s="13">
        <v>100</v>
      </c>
      <c r="S10" s="11" t="s">
        <v>79</v>
      </c>
    </row>
    <row r="11" spans="1:19">
      <c r="A11" s="11" t="s">
        <v>80</v>
      </c>
      <c r="B11" s="11" t="s">
        <v>81</v>
      </c>
      <c r="C11" s="27" t="s">
        <v>82</v>
      </c>
      <c r="D11" s="13">
        <v>2</v>
      </c>
      <c r="E11" s="13">
        <v>2</v>
      </c>
      <c r="F11" s="11" t="s">
        <v>57</v>
      </c>
      <c r="G11" s="11" t="s">
        <v>58</v>
      </c>
      <c r="H11" s="13">
        <v>0</v>
      </c>
      <c r="I11" s="13">
        <v>3</v>
      </c>
      <c r="J11" s="13">
        <v>0</v>
      </c>
      <c r="K11" s="11" t="s">
        <v>80</v>
      </c>
      <c r="L11" s="11" t="s">
        <v>57</v>
      </c>
      <c r="M11" s="11" t="s">
        <v>57</v>
      </c>
      <c r="N11" s="13">
        <v>30</v>
      </c>
      <c r="O11" s="11" t="s">
        <v>59</v>
      </c>
      <c r="P11" s="11" t="s">
        <v>57</v>
      </c>
      <c r="Q11" s="13">
        <v>0</v>
      </c>
      <c r="R11" s="13">
        <v>100</v>
      </c>
      <c r="S11" s="11" t="s">
        <v>83</v>
      </c>
    </row>
    <row r="12" spans="1:19">
      <c r="A12" s="11" t="s">
        <v>84</v>
      </c>
      <c r="B12" s="11" t="s">
        <v>85</v>
      </c>
      <c r="C12" s="11" t="s">
        <v>86</v>
      </c>
      <c r="D12" s="13">
        <v>1</v>
      </c>
      <c r="E12" s="13">
        <v>1</v>
      </c>
      <c r="F12" s="11" t="s">
        <v>57</v>
      </c>
      <c r="G12" s="11" t="s">
        <v>58</v>
      </c>
      <c r="H12" s="13">
        <v>5</v>
      </c>
      <c r="I12" s="13">
        <v>1</v>
      </c>
      <c r="J12" s="13">
        <v>0</v>
      </c>
      <c r="K12" s="11" t="s">
        <v>84</v>
      </c>
      <c r="L12" s="11" t="s">
        <v>57</v>
      </c>
      <c r="M12" s="11" t="s">
        <v>57</v>
      </c>
      <c r="N12" s="13">
        <v>0</v>
      </c>
      <c r="O12" s="11" t="s">
        <v>59</v>
      </c>
      <c r="P12" s="11" t="s">
        <v>57</v>
      </c>
      <c r="Q12" s="13">
        <v>0</v>
      </c>
      <c r="R12" s="13">
        <v>100</v>
      </c>
      <c r="S12" s="11" t="s">
        <v>87</v>
      </c>
    </row>
    <row r="13" spans="1:19">
      <c r="A13" s="11" t="s">
        <v>88</v>
      </c>
      <c r="B13" s="11" t="s">
        <v>89</v>
      </c>
      <c r="C13" s="11" t="s">
        <v>90</v>
      </c>
      <c r="D13" s="13">
        <v>1</v>
      </c>
      <c r="E13" s="13">
        <v>1</v>
      </c>
      <c r="F13" s="11" t="s">
        <v>57</v>
      </c>
      <c r="G13" s="11" t="s">
        <v>58</v>
      </c>
      <c r="H13" s="13">
        <v>0</v>
      </c>
      <c r="I13" s="13">
        <v>1</v>
      </c>
      <c r="J13" s="13">
        <v>0</v>
      </c>
      <c r="K13" s="11" t="s">
        <v>88</v>
      </c>
      <c r="L13" s="11" t="s">
        <v>57</v>
      </c>
      <c r="M13" s="11" t="s">
        <v>57</v>
      </c>
      <c r="N13" s="13">
        <v>0</v>
      </c>
      <c r="O13" s="11" t="s">
        <v>59</v>
      </c>
      <c r="P13" s="11" t="s">
        <v>57</v>
      </c>
      <c r="Q13" s="13">
        <v>0</v>
      </c>
      <c r="R13" s="13">
        <v>100</v>
      </c>
      <c r="S13" s="11" t="s">
        <v>91</v>
      </c>
    </row>
    <row r="14" spans="1:19">
      <c r="A14" s="3"/>
      <c r="B14" s="3"/>
      <c r="C14" s="3"/>
      <c r="D14" s="15"/>
      <c r="E14" s="15"/>
      <c r="F14" s="3"/>
      <c r="G14" s="3"/>
      <c r="H14" s="15"/>
      <c r="I14" s="15"/>
      <c r="J14" s="15"/>
      <c r="K14" s="3"/>
      <c r="L14" s="3"/>
      <c r="M14" s="3"/>
      <c r="N14" s="15"/>
      <c r="O14" s="3"/>
      <c r="P14" s="3"/>
      <c r="Q14" s="15"/>
      <c r="R14" s="15"/>
      <c r="S14" s="3"/>
    </row>
    <row r="15" spans="1:19">
      <c r="A15" s="3"/>
      <c r="B15" s="3"/>
      <c r="C15" s="3"/>
      <c r="D15" s="15"/>
      <c r="E15" s="15"/>
      <c r="F15" s="3"/>
      <c r="G15" s="3"/>
      <c r="H15" s="15"/>
      <c r="I15" s="15"/>
      <c r="J15" s="15"/>
      <c r="K15" s="3"/>
      <c r="L15" s="3"/>
      <c r="M15" s="3"/>
      <c r="N15" s="15"/>
      <c r="O15" s="3"/>
      <c r="P15" s="3"/>
      <c r="Q15" s="15"/>
      <c r="R15" s="15"/>
      <c r="S15" s="3"/>
    </row>
    <row r="16" spans="1:19">
      <c r="A16" s="3"/>
      <c r="B16" s="3"/>
      <c r="C16" s="3"/>
      <c r="D16" s="15"/>
      <c r="E16" s="15"/>
      <c r="F16" s="3"/>
      <c r="G16" s="3"/>
      <c r="H16" s="15"/>
      <c r="I16" s="15"/>
      <c r="J16" s="15"/>
      <c r="K16" s="3"/>
      <c r="L16" s="3"/>
      <c r="M16" s="3"/>
      <c r="N16" s="15"/>
      <c r="O16" s="3"/>
      <c r="P16" s="3"/>
      <c r="Q16" s="15"/>
      <c r="R16" s="15"/>
      <c r="S16" s="3"/>
    </row>
    <row r="17" spans="1:19">
      <c r="A17" s="3"/>
      <c r="B17" s="3"/>
      <c r="C17" s="3"/>
      <c r="D17" s="15"/>
      <c r="E17" s="15"/>
      <c r="F17" s="3"/>
      <c r="G17" s="3"/>
      <c r="H17" s="15"/>
      <c r="I17" s="15"/>
      <c r="J17" s="15"/>
      <c r="K17" s="3"/>
      <c r="L17" s="3"/>
      <c r="M17" s="3"/>
      <c r="N17" s="15"/>
      <c r="O17" s="3"/>
      <c r="P17" s="3"/>
      <c r="Q17" s="15"/>
      <c r="R17" s="15"/>
      <c r="S17" s="3"/>
    </row>
    <row r="18" spans="1:19">
      <c r="A18" s="3"/>
      <c r="B18" s="3"/>
      <c r="C18" s="3"/>
      <c r="D18" s="15"/>
      <c r="E18" s="15"/>
      <c r="F18" s="3"/>
      <c r="G18" s="3"/>
      <c r="H18" s="15"/>
      <c r="I18" s="15"/>
      <c r="J18" s="15"/>
      <c r="K18" s="3"/>
      <c r="L18" s="3"/>
      <c r="M18" s="3"/>
      <c r="N18" s="15"/>
      <c r="O18" s="3"/>
      <c r="P18" s="3"/>
      <c r="Q18" s="15"/>
      <c r="R18" s="15"/>
      <c r="S18" s="3"/>
    </row>
    <row r="19" spans="1:19">
      <c r="A19" s="3"/>
      <c r="B19" s="3"/>
      <c r="C19" s="3"/>
      <c r="D19" s="15"/>
      <c r="E19" s="15"/>
      <c r="F19" s="3"/>
      <c r="G19" s="3"/>
      <c r="H19" s="15"/>
      <c r="I19" s="15"/>
      <c r="J19" s="15"/>
      <c r="K19" s="3"/>
      <c r="L19" s="3"/>
      <c r="M19" s="3"/>
      <c r="N19" s="15"/>
      <c r="O19" s="3"/>
      <c r="P19" s="3"/>
      <c r="Q19" s="15"/>
      <c r="R19" s="15"/>
      <c r="S19" s="3"/>
    </row>
    <row r="20" spans="1:19">
      <c r="A20" s="3"/>
      <c r="B20" s="3"/>
      <c r="C20" s="3"/>
      <c r="D20" s="15"/>
      <c r="E20" s="15"/>
      <c r="F20" s="3"/>
      <c r="G20" s="3"/>
      <c r="H20" s="15"/>
      <c r="I20" s="15"/>
      <c r="J20" s="15"/>
      <c r="K20" s="3"/>
      <c r="L20" s="3"/>
      <c r="M20" s="3"/>
      <c r="N20" s="15"/>
      <c r="O20" s="3"/>
      <c r="P20" s="3"/>
      <c r="Q20" s="15"/>
      <c r="R20" s="15"/>
      <c r="S20" s="3"/>
    </row>
    <row r="21" spans="1:19">
      <c r="A21" s="3"/>
      <c r="B21" s="3"/>
      <c r="C21" s="3"/>
      <c r="D21" s="15"/>
      <c r="E21" s="15"/>
      <c r="F21" s="3"/>
      <c r="G21" s="3"/>
      <c r="H21" s="15"/>
      <c r="I21" s="15"/>
      <c r="J21" s="15"/>
      <c r="K21" s="3"/>
      <c r="L21" s="3"/>
      <c r="M21" s="3"/>
      <c r="N21" s="15"/>
      <c r="O21" s="3"/>
      <c r="P21" s="3"/>
      <c r="Q21" s="15"/>
      <c r="R21" s="15"/>
      <c r="S21" s="3"/>
    </row>
    <row r="22" spans="1:19">
      <c r="A22" s="3"/>
      <c r="B22" s="3"/>
      <c r="C22" s="3"/>
      <c r="D22" s="15"/>
      <c r="E22" s="15"/>
      <c r="F22" s="3"/>
      <c r="G22" s="3"/>
      <c r="H22" s="15"/>
      <c r="I22" s="15"/>
      <c r="J22" s="15"/>
      <c r="K22" s="3"/>
      <c r="L22" s="3"/>
      <c r="M22" s="3"/>
      <c r="N22" s="15"/>
      <c r="O22" s="3"/>
      <c r="P22" s="3"/>
      <c r="Q22" s="15"/>
      <c r="R22" s="15"/>
      <c r="S22" s="3"/>
    </row>
    <row r="23" spans="1:19">
      <c r="A23" s="3"/>
      <c r="B23" s="3"/>
      <c r="C23" s="3"/>
      <c r="D23" s="15"/>
      <c r="E23" s="15"/>
      <c r="F23" s="3"/>
      <c r="G23" s="3"/>
      <c r="H23" s="15"/>
      <c r="I23" s="15"/>
      <c r="J23" s="15"/>
      <c r="K23" s="3"/>
      <c r="L23" s="3"/>
      <c r="M23" s="3"/>
      <c r="N23" s="15"/>
      <c r="O23" s="3"/>
      <c r="P23" s="3"/>
      <c r="Q23" s="15"/>
      <c r="R23" s="15"/>
      <c r="S23" s="3"/>
    </row>
    <row r="24" spans="1:19">
      <c r="A24" s="3"/>
      <c r="B24" s="3"/>
      <c r="C24" s="3"/>
      <c r="D24" s="15"/>
      <c r="E24" s="15"/>
      <c r="F24" s="3"/>
      <c r="G24" s="3"/>
      <c r="H24" s="15"/>
      <c r="I24" s="15"/>
      <c r="J24" s="15"/>
      <c r="K24" s="3"/>
      <c r="L24" s="3"/>
      <c r="M24" s="3"/>
      <c r="N24" s="15"/>
      <c r="O24" s="3"/>
      <c r="P24" s="3"/>
      <c r="Q24" s="15"/>
      <c r="R24" s="15"/>
      <c r="S24" s="3"/>
    </row>
  </sheetData>
  <mergeCells count="2">
    <mergeCell ref="A1:S1"/>
    <mergeCell ref="A2:S2"/>
  </mergeCells>
  <dataValidations count="2">
    <dataValidation type="list" sqref="C5:C24">
      <formula1>"人口,农业,工业,经济,科研,市政,军事,交通,装饰,奇观"</formula1>
    </dataValidation>
    <dataValidation type="list" sqref="F5:F24 L5:M24 O5:P24">
      <formula1>"是,否"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showGridLines="0" workbookViewId="0">
      <selection activeCell="A1" sqref="A1:D1"/>
    </sheetView>
  </sheetViews>
  <sheetFormatPr defaultColWidth="9" defaultRowHeight="14" outlineLevelCol="3"/>
  <cols>
    <col min="1" max="1" width="28" customWidth="1"/>
    <col min="2" max="2" width="16" customWidth="1"/>
    <col min="3" max="3" width="10" customWidth="1"/>
    <col min="4" max="4" width="40" customWidth="1"/>
  </cols>
  <sheetData>
    <row r="1" ht="30" customHeight="1" spans="1:4">
      <c r="A1" s="1" t="s">
        <v>92</v>
      </c>
      <c r="B1" s="1"/>
      <c r="C1" s="1"/>
      <c r="D1" s="1"/>
    </row>
    <row r="2" ht="38" customHeight="1" spans="1:4">
      <c r="A2" s="2" t="s">
        <v>93</v>
      </c>
      <c r="B2" s="2"/>
      <c r="C2" s="2"/>
      <c r="D2" s="2"/>
    </row>
    <row r="3" spans="1:4">
      <c r="A3" s="3"/>
      <c r="B3" s="3"/>
      <c r="C3" s="3"/>
      <c r="D3" s="3"/>
    </row>
    <row r="4" ht="30" customHeight="1" spans="1:4">
      <c r="A4" s="4" t="s">
        <v>35</v>
      </c>
      <c r="B4" s="5" t="s">
        <v>16</v>
      </c>
      <c r="C4" s="5" t="s">
        <v>94</v>
      </c>
      <c r="D4" s="6" t="s">
        <v>53</v>
      </c>
    </row>
    <row r="5" spans="1:4">
      <c r="A5" s="7" t="s">
        <v>61</v>
      </c>
      <c r="B5" s="7" t="s">
        <v>95</v>
      </c>
      <c r="C5" s="9">
        <v>30</v>
      </c>
      <c r="D5" s="7" t="s">
        <v>96</v>
      </c>
    </row>
    <row r="6" spans="1:4">
      <c r="A6" s="11" t="s">
        <v>61</v>
      </c>
      <c r="B6" s="11" t="s">
        <v>97</v>
      </c>
      <c r="C6" s="13">
        <v>1</v>
      </c>
      <c r="D6" s="11" t="s">
        <v>96</v>
      </c>
    </row>
    <row r="7" spans="1:4">
      <c r="A7" s="11" t="s">
        <v>61</v>
      </c>
      <c r="B7" s="11" t="s">
        <v>98</v>
      </c>
      <c r="C7" s="13">
        <v>1</v>
      </c>
      <c r="D7" s="11" t="s">
        <v>96</v>
      </c>
    </row>
    <row r="8" spans="1:4">
      <c r="A8" s="11" t="s">
        <v>88</v>
      </c>
      <c r="B8" s="11" t="s">
        <v>95</v>
      </c>
      <c r="C8" s="13">
        <v>10</v>
      </c>
      <c r="D8" s="11" t="s">
        <v>99</v>
      </c>
    </row>
    <row r="9" spans="1:4">
      <c r="A9" s="11" t="s">
        <v>88</v>
      </c>
      <c r="B9" s="11" t="s">
        <v>100</v>
      </c>
      <c r="C9" s="13">
        <v>1</v>
      </c>
      <c r="D9" s="11" t="s">
        <v>99</v>
      </c>
    </row>
    <row r="10" spans="1:4">
      <c r="A10" s="11" t="s">
        <v>80</v>
      </c>
      <c r="B10" s="11" t="s">
        <v>95</v>
      </c>
      <c r="C10" s="13">
        <v>30</v>
      </c>
      <c r="D10" s="11" t="s">
        <v>96</v>
      </c>
    </row>
    <row r="11" spans="1:4">
      <c r="A11" s="3"/>
      <c r="B11" s="3"/>
      <c r="C11" s="15"/>
      <c r="D11" s="3"/>
    </row>
    <row r="12" spans="1:4">
      <c r="A12" s="3"/>
      <c r="B12" s="3"/>
      <c r="C12" s="15"/>
      <c r="D12" s="3"/>
    </row>
    <row r="13" spans="1:4">
      <c r="A13" s="3"/>
      <c r="B13" s="3"/>
      <c r="C13" s="15"/>
      <c r="D13" s="3"/>
    </row>
    <row r="14" spans="1:4">
      <c r="A14" s="3"/>
      <c r="B14" s="3"/>
      <c r="C14" s="15"/>
      <c r="D14" s="3"/>
    </row>
    <row r="15" spans="1:4">
      <c r="A15" s="3"/>
      <c r="B15" s="3"/>
      <c r="C15" s="15"/>
      <c r="D15" s="3"/>
    </row>
    <row r="16" spans="1:4">
      <c r="A16" s="3"/>
      <c r="B16" s="3"/>
      <c r="C16" s="15"/>
      <c r="D16" s="3"/>
    </row>
    <row r="17" spans="1:4">
      <c r="A17" s="3"/>
      <c r="B17" s="3"/>
      <c r="C17" s="15"/>
      <c r="D17" s="3"/>
    </row>
    <row r="18" spans="1:4">
      <c r="A18" s="3"/>
      <c r="B18" s="3"/>
      <c r="C18" s="15"/>
      <c r="D18" s="3"/>
    </row>
    <row r="19" spans="1:4">
      <c r="A19" s="3"/>
      <c r="B19" s="3"/>
      <c r="C19" s="15"/>
      <c r="D19" s="3"/>
    </row>
    <row r="20" spans="1:4">
      <c r="A20" s="3"/>
      <c r="B20" s="3"/>
      <c r="C20" s="15"/>
      <c r="D20" s="3"/>
    </row>
    <row r="21" spans="1:4">
      <c r="A21" s="3"/>
      <c r="B21" s="3"/>
      <c r="C21" s="15"/>
      <c r="D21" s="3"/>
    </row>
    <row r="22" spans="1:4">
      <c r="A22" s="3"/>
      <c r="B22" s="3"/>
      <c r="C22" s="15"/>
      <c r="D22" s="3"/>
    </row>
    <row r="23" spans="1:4">
      <c r="A23" s="3"/>
      <c r="B23" s="3"/>
      <c r="C23" s="15"/>
      <c r="D23" s="3"/>
    </row>
    <row r="24" spans="1:4">
      <c r="A24" s="3"/>
      <c r="B24" s="3"/>
      <c r="C24" s="15"/>
      <c r="D24" s="3"/>
    </row>
  </sheetData>
  <mergeCells count="2">
    <mergeCell ref="A1:D1"/>
    <mergeCell ref="A2:D2"/>
  </mergeCells>
  <dataValidations count="2">
    <dataValidation type="list" sqref="A5:A24">
      <formula1>"building.player_home,building.residential_house,building.lumber_cabin,building.fishing_hut,building.farm_field,building.market,building.warehouse,building.road,building.tree"</formula1>
    </dataValidation>
    <dataValidation type="list" sqref="B5:B24">
      <formula1>"金币,泥土,石头,原木,木板,树苗,蔬菜,鱼,黄金鱼"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showGridLines="0" workbookViewId="0">
      <selection activeCell="A1" sqref="A1:E1"/>
    </sheetView>
  </sheetViews>
  <sheetFormatPr defaultColWidth="9" defaultRowHeight="14" outlineLevelCol="4"/>
  <cols>
    <col min="1" max="1" width="28" customWidth="1"/>
    <col min="2" max="2" width="12" customWidth="1"/>
    <col min="3" max="3" width="16" customWidth="1"/>
    <col min="4" max="4" width="10" customWidth="1"/>
    <col min="5" max="5" width="36" customWidth="1"/>
  </cols>
  <sheetData>
    <row r="1" ht="30" customHeight="1" spans="1:5">
      <c r="A1" s="1" t="s">
        <v>101</v>
      </c>
      <c r="B1" s="1"/>
      <c r="C1" s="1"/>
      <c r="D1" s="1"/>
      <c r="E1" s="1"/>
    </row>
    <row r="2" ht="38" customHeight="1" spans="1:5">
      <c r="A2" s="2" t="s">
        <v>102</v>
      </c>
      <c r="B2" s="2"/>
      <c r="C2" s="2"/>
      <c r="D2" s="2"/>
      <c r="E2" s="2"/>
    </row>
    <row r="3" spans="1:5">
      <c r="A3" s="3"/>
      <c r="B3" s="3"/>
      <c r="C3" s="3"/>
      <c r="D3" s="3"/>
      <c r="E3" s="3"/>
    </row>
    <row r="4" ht="30" customHeight="1" spans="1:5">
      <c r="A4" s="4" t="s">
        <v>35</v>
      </c>
      <c r="B4" s="5" t="s">
        <v>103</v>
      </c>
      <c r="C4" s="5" t="s">
        <v>16</v>
      </c>
      <c r="D4" s="5" t="s">
        <v>94</v>
      </c>
      <c r="E4" s="6" t="s">
        <v>53</v>
      </c>
    </row>
    <row r="5" spans="1:5">
      <c r="A5" s="7" t="s">
        <v>61</v>
      </c>
      <c r="B5" s="9">
        <v>1</v>
      </c>
      <c r="C5" s="9" t="s">
        <v>104</v>
      </c>
      <c r="D5" s="9">
        <v>10</v>
      </c>
      <c r="E5" s="7" t="s">
        <v>105</v>
      </c>
    </row>
    <row r="6" spans="1:5">
      <c r="A6" s="11" t="s">
        <v>61</v>
      </c>
      <c r="B6" s="13">
        <v>2</v>
      </c>
      <c r="C6" s="13" t="s">
        <v>97</v>
      </c>
      <c r="D6" s="13">
        <v>10</v>
      </c>
      <c r="E6" s="11" t="s">
        <v>106</v>
      </c>
    </row>
    <row r="7" spans="1:5">
      <c r="A7" s="11" t="s">
        <v>61</v>
      </c>
      <c r="B7" s="13">
        <v>3</v>
      </c>
      <c r="C7" s="13" t="s">
        <v>98</v>
      </c>
      <c r="D7" s="13">
        <v>10</v>
      </c>
      <c r="E7" s="11" t="s">
        <v>107</v>
      </c>
    </row>
    <row r="8" spans="1:5">
      <c r="A8" s="11" t="s">
        <v>80</v>
      </c>
      <c r="B8" s="13">
        <v>1</v>
      </c>
      <c r="C8" s="13" t="s">
        <v>104</v>
      </c>
      <c r="D8" s="13">
        <v>10</v>
      </c>
      <c r="E8" s="11" t="s">
        <v>108</v>
      </c>
    </row>
    <row r="9" spans="1:5">
      <c r="A9" s="11" t="s">
        <v>80</v>
      </c>
      <c r="B9" s="13">
        <v>2</v>
      </c>
      <c r="C9" s="13" t="s">
        <v>98</v>
      </c>
      <c r="D9" s="13">
        <v>10</v>
      </c>
      <c r="E9" s="11" t="s">
        <v>109</v>
      </c>
    </row>
    <row r="10" spans="1:5">
      <c r="A10" s="11" t="s">
        <v>80</v>
      </c>
      <c r="B10" s="13">
        <v>3</v>
      </c>
      <c r="C10" s="13" t="s">
        <v>97</v>
      </c>
      <c r="D10" s="13">
        <v>10</v>
      </c>
      <c r="E10" s="11" t="s">
        <v>107</v>
      </c>
    </row>
    <row r="11" spans="1:5">
      <c r="A11" s="3"/>
      <c r="B11" s="15"/>
      <c r="C11" s="15"/>
      <c r="D11" s="15"/>
      <c r="E11" s="3"/>
    </row>
    <row r="12" spans="1:5">
      <c r="A12" s="3"/>
      <c r="B12" s="15"/>
      <c r="C12" s="15"/>
      <c r="D12" s="15"/>
      <c r="E12" s="3"/>
    </row>
    <row r="13" spans="1:5">
      <c r="A13" s="3"/>
      <c r="B13" s="15"/>
      <c r="C13" s="15"/>
      <c r="D13" s="15"/>
      <c r="E13" s="3"/>
    </row>
    <row r="14" spans="1:5">
      <c r="A14" s="3"/>
      <c r="B14" s="15"/>
      <c r="C14" s="15"/>
      <c r="D14" s="15"/>
      <c r="E14" s="3"/>
    </row>
    <row r="15" spans="1:5">
      <c r="A15" s="3"/>
      <c r="B15" s="15"/>
      <c r="C15" s="15"/>
      <c r="D15" s="15"/>
      <c r="E15" s="3"/>
    </row>
    <row r="16" spans="1:5">
      <c r="A16" s="3"/>
      <c r="B16" s="15"/>
      <c r="C16" s="15"/>
      <c r="D16" s="15"/>
      <c r="E16" s="3"/>
    </row>
    <row r="17" spans="1:5">
      <c r="A17" s="3"/>
      <c r="B17" s="15"/>
      <c r="C17" s="15"/>
      <c r="D17" s="15"/>
      <c r="E17" s="3"/>
    </row>
    <row r="18" spans="1:5">
      <c r="A18" s="3"/>
      <c r="B18" s="15"/>
      <c r="C18" s="15"/>
      <c r="D18" s="15"/>
      <c r="E18" s="3"/>
    </row>
    <row r="19" spans="1:5">
      <c r="A19" s="3"/>
      <c r="B19" s="15"/>
      <c r="C19" s="15"/>
      <c r="D19" s="15"/>
      <c r="E19" s="3"/>
    </row>
    <row r="20" spans="1:5">
      <c r="A20" s="3"/>
      <c r="B20" s="15"/>
      <c r="C20" s="15"/>
      <c r="D20" s="15"/>
      <c r="E20" s="3"/>
    </row>
    <row r="21" spans="1:5">
      <c r="A21" s="3"/>
      <c r="B21" s="15"/>
      <c r="C21" s="15"/>
      <c r="D21" s="15"/>
      <c r="E21" s="3"/>
    </row>
    <row r="22" spans="1:5">
      <c r="A22" s="3"/>
      <c r="B22" s="15"/>
      <c r="C22" s="15"/>
      <c r="D22" s="15"/>
      <c r="E22" s="3"/>
    </row>
    <row r="23" spans="1:5">
      <c r="A23" s="3"/>
      <c r="B23" s="15"/>
      <c r="C23" s="15"/>
      <c r="D23" s="15"/>
      <c r="E23" s="3"/>
    </row>
    <row r="24" spans="1:5">
      <c r="A24" s="3"/>
      <c r="B24" s="15"/>
      <c r="C24" s="15"/>
      <c r="D24" s="15"/>
      <c r="E24" s="3"/>
    </row>
  </sheetData>
  <mergeCells count="2">
    <mergeCell ref="A1:E1"/>
    <mergeCell ref="A2:E2"/>
  </mergeCells>
  <dataValidations count="2">
    <dataValidation type="list" sqref="A5:A24">
      <formula1>"building.player_home,building.residential_house,building.lumber_cabin,building.fishing_hut,building.farm_field,building.market,building.warehouse,building.road,building.tree"</formula1>
    </dataValidation>
    <dataValidation type="list" sqref="C5:C24">
      <formula1>"金币,泥土,石头,原木,木板,树苗,蔬菜,鱼,黄金鱼"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showGridLines="0" workbookViewId="0">
      <selection activeCell="A1" sqref="A1:E1"/>
    </sheetView>
  </sheetViews>
  <sheetFormatPr defaultColWidth="9" defaultRowHeight="14" outlineLevelCol="4"/>
  <cols>
    <col min="1" max="1" width="28" customWidth="1"/>
    <col min="2" max="2" width="9" customWidth="1"/>
    <col min="3" max="3" width="10" customWidth="1"/>
    <col min="4" max="4" width="34" customWidth="1"/>
    <col min="5" max="5" width="42" customWidth="1"/>
  </cols>
  <sheetData>
    <row r="1" ht="30" customHeight="1" spans="1:5">
      <c r="A1" s="1" t="s">
        <v>110</v>
      </c>
      <c r="B1" s="1"/>
      <c r="C1" s="1"/>
      <c r="D1" s="1"/>
      <c r="E1" s="1"/>
    </row>
    <row r="2" ht="38" customHeight="1" spans="1:5">
      <c r="A2" s="2" t="s">
        <v>111</v>
      </c>
      <c r="B2" s="2"/>
      <c r="C2" s="2"/>
      <c r="D2" s="2"/>
      <c r="E2" s="2"/>
    </row>
    <row r="3" spans="1:5">
      <c r="A3" s="3"/>
      <c r="B3" s="3"/>
      <c r="C3" s="3"/>
      <c r="D3" s="3"/>
      <c r="E3" s="3"/>
    </row>
    <row r="4" ht="30" customHeight="1" spans="1:5">
      <c r="A4" s="4" t="s">
        <v>35</v>
      </c>
      <c r="B4" s="5" t="s">
        <v>112</v>
      </c>
      <c r="C4" s="5" t="s">
        <v>113</v>
      </c>
      <c r="D4" s="5" t="s">
        <v>114</v>
      </c>
      <c r="E4" s="6" t="s">
        <v>53</v>
      </c>
    </row>
    <row r="5" spans="1:5">
      <c r="A5" s="7" t="s">
        <v>54</v>
      </c>
      <c r="B5" s="9">
        <v>1</v>
      </c>
      <c r="C5" s="7" t="s">
        <v>59</v>
      </c>
      <c r="D5" s="7" t="s">
        <v>115</v>
      </c>
      <c r="E5" s="7" t="s">
        <v>116</v>
      </c>
    </row>
    <row r="6" spans="1:5">
      <c r="A6" s="11" t="s">
        <v>54</v>
      </c>
      <c r="B6" s="13">
        <v>2</v>
      </c>
      <c r="C6" s="11" t="s">
        <v>57</v>
      </c>
      <c r="D6" s="11" t="s">
        <v>115</v>
      </c>
      <c r="E6" s="11" t="s">
        <v>117</v>
      </c>
    </row>
    <row r="7" spans="1:5">
      <c r="A7" s="11" t="s">
        <v>54</v>
      </c>
      <c r="B7" s="13">
        <v>3</v>
      </c>
      <c r="C7" s="11" t="s">
        <v>57</v>
      </c>
      <c r="D7" s="11" t="s">
        <v>115</v>
      </c>
      <c r="E7" s="11" t="s">
        <v>117</v>
      </c>
    </row>
    <row r="8" spans="1:5">
      <c r="A8" s="11" t="s">
        <v>54</v>
      </c>
      <c r="B8" s="13">
        <v>4</v>
      </c>
      <c r="C8" s="11" t="s">
        <v>57</v>
      </c>
      <c r="D8" s="11" t="s">
        <v>115</v>
      </c>
      <c r="E8" s="11" t="s">
        <v>117</v>
      </c>
    </row>
    <row r="9" spans="1:5">
      <c r="A9" s="11" t="s">
        <v>61</v>
      </c>
      <c r="B9" s="13">
        <v>1</v>
      </c>
      <c r="C9" s="11" t="s">
        <v>59</v>
      </c>
      <c r="D9" s="11" t="s">
        <v>115</v>
      </c>
      <c r="E9" s="11" t="s">
        <v>116</v>
      </c>
    </row>
    <row r="10" spans="1:5">
      <c r="A10" s="11" t="s">
        <v>61</v>
      </c>
      <c r="B10" s="13">
        <v>2</v>
      </c>
      <c r="C10" s="11" t="s">
        <v>57</v>
      </c>
      <c r="D10" s="11" t="s">
        <v>115</v>
      </c>
      <c r="E10" s="11" t="s">
        <v>118</v>
      </c>
    </row>
    <row r="11" spans="1:5">
      <c r="A11" s="11" t="s">
        <v>61</v>
      </c>
      <c r="B11" s="13">
        <v>3</v>
      </c>
      <c r="C11" s="11" t="s">
        <v>57</v>
      </c>
      <c r="D11" s="11" t="s">
        <v>115</v>
      </c>
      <c r="E11" s="11" t="s">
        <v>118</v>
      </c>
    </row>
    <row r="12" spans="1:5">
      <c r="A12" s="11" t="s">
        <v>61</v>
      </c>
      <c r="B12" s="13">
        <v>4</v>
      </c>
      <c r="C12" s="11" t="s">
        <v>57</v>
      </c>
      <c r="D12" s="11" t="s">
        <v>115</v>
      </c>
      <c r="E12" s="11" t="s">
        <v>118</v>
      </c>
    </row>
    <row r="13" spans="1:5">
      <c r="A13" s="11" t="s">
        <v>65</v>
      </c>
      <c r="B13" s="13">
        <v>1</v>
      </c>
      <c r="C13" s="11" t="s">
        <v>59</v>
      </c>
      <c r="D13" s="11" t="s">
        <v>115</v>
      </c>
      <c r="E13" s="11" t="s">
        <v>116</v>
      </c>
    </row>
    <row r="14" spans="1:5">
      <c r="A14" s="11" t="s">
        <v>65</v>
      </c>
      <c r="B14" s="13">
        <v>2</v>
      </c>
      <c r="C14" s="11" t="s">
        <v>59</v>
      </c>
      <c r="D14" s="11" t="s">
        <v>119</v>
      </c>
      <c r="E14" s="11" t="s">
        <v>120</v>
      </c>
    </row>
    <row r="15" spans="1:5">
      <c r="A15" s="11" t="s">
        <v>69</v>
      </c>
      <c r="B15" s="13">
        <v>1</v>
      </c>
      <c r="C15" s="11" t="s">
        <v>59</v>
      </c>
      <c r="D15" s="11" t="s">
        <v>115</v>
      </c>
      <c r="E15" s="11" t="s">
        <v>116</v>
      </c>
    </row>
    <row r="16" spans="1:5">
      <c r="A16" s="11" t="s">
        <v>69</v>
      </c>
      <c r="B16" s="13">
        <v>2</v>
      </c>
      <c r="C16" s="11" t="s">
        <v>57</v>
      </c>
      <c r="D16" s="11" t="s">
        <v>115</v>
      </c>
      <c r="E16" s="11" t="s">
        <v>118</v>
      </c>
    </row>
    <row r="17" spans="1:5">
      <c r="A17" s="11" t="s">
        <v>73</v>
      </c>
      <c r="B17" s="13">
        <v>1</v>
      </c>
      <c r="C17" s="11" t="s">
        <v>59</v>
      </c>
      <c r="D17" s="11" t="s">
        <v>115</v>
      </c>
      <c r="E17" s="11" t="s">
        <v>116</v>
      </c>
    </row>
    <row r="18" spans="1:5">
      <c r="A18" s="11" t="s">
        <v>76</v>
      </c>
      <c r="B18" s="13">
        <v>1</v>
      </c>
      <c r="C18" s="11" t="s">
        <v>59</v>
      </c>
      <c r="D18" s="11" t="s">
        <v>115</v>
      </c>
      <c r="E18" s="11" t="s">
        <v>116</v>
      </c>
    </row>
    <row r="19" spans="1:5">
      <c r="A19" s="11" t="s">
        <v>80</v>
      </c>
      <c r="B19" s="13">
        <v>1</v>
      </c>
      <c r="C19" s="11" t="s">
        <v>59</v>
      </c>
      <c r="D19" s="11" t="s">
        <v>115</v>
      </c>
      <c r="E19" s="11" t="s">
        <v>121</v>
      </c>
    </row>
    <row r="20" spans="1:5">
      <c r="A20" s="11" t="s">
        <v>80</v>
      </c>
      <c r="B20" s="13">
        <v>2</v>
      </c>
      <c r="C20" s="11" t="s">
        <v>59</v>
      </c>
      <c r="D20" s="11" t="s">
        <v>115</v>
      </c>
      <c r="E20" s="11" t="s">
        <v>122</v>
      </c>
    </row>
    <row r="21" spans="1:5">
      <c r="A21" s="11" t="s">
        <v>80</v>
      </c>
      <c r="B21" s="13">
        <v>3</v>
      </c>
      <c r="C21" s="11" t="s">
        <v>59</v>
      </c>
      <c r="D21" s="11" t="s">
        <v>115</v>
      </c>
      <c r="E21" s="11" t="s">
        <v>123</v>
      </c>
    </row>
    <row r="22" spans="1:5">
      <c r="A22" s="11" t="s">
        <v>84</v>
      </c>
      <c r="B22" s="13">
        <v>1</v>
      </c>
      <c r="C22" s="11" t="s">
        <v>59</v>
      </c>
      <c r="D22" s="11" t="s">
        <v>115</v>
      </c>
      <c r="E22" s="11" t="s">
        <v>116</v>
      </c>
    </row>
    <row r="23" spans="1:5">
      <c r="A23" s="11" t="s">
        <v>88</v>
      </c>
      <c r="B23" s="13">
        <v>1</v>
      </c>
      <c r="C23" s="11" t="s">
        <v>59</v>
      </c>
      <c r="D23" s="11" t="s">
        <v>115</v>
      </c>
      <c r="E23" s="11" t="s">
        <v>116</v>
      </c>
    </row>
    <row r="24" spans="1:5">
      <c r="A24" s="3"/>
      <c r="B24" s="15"/>
      <c r="C24" s="3"/>
      <c r="D24" s="3"/>
      <c r="E24" s="3"/>
    </row>
  </sheetData>
  <mergeCells count="2">
    <mergeCell ref="A1:E1"/>
    <mergeCell ref="A2:E2"/>
  </mergeCells>
  <dataValidations count="2">
    <dataValidation type="list" sqref="A5:A24">
      <formula1>"building.player_home,building.residential_house,building.lumber_cabin,building.fishing_hut,building.farm_field,building.market,building.warehouse,building.road,building.tree"</formula1>
    </dataValidation>
    <dataValidation type="list" sqref="C5:C24">
      <formula1>"是,否"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showGridLines="0" workbookViewId="0">
      <selection activeCell="A1" sqref="A1:E1"/>
    </sheetView>
  </sheetViews>
  <sheetFormatPr defaultColWidth="9" defaultRowHeight="14" outlineLevelCol="4"/>
  <cols>
    <col min="1" max="1" width="28" customWidth="1"/>
    <col min="2" max="2" width="12" customWidth="1"/>
    <col min="3" max="3" width="16" customWidth="1"/>
    <col min="4" max="4" width="10" customWidth="1"/>
    <col min="5" max="5" width="46" customWidth="1"/>
  </cols>
  <sheetData>
    <row r="1" ht="30" customHeight="1" spans="1:5">
      <c r="A1" s="1" t="s">
        <v>124</v>
      </c>
      <c r="B1" s="1"/>
      <c r="C1" s="1"/>
      <c r="D1" s="1"/>
      <c r="E1" s="1"/>
    </row>
    <row r="2" ht="38" customHeight="1" spans="1:5">
      <c r="A2" s="2" t="s">
        <v>125</v>
      </c>
      <c r="B2" s="2"/>
      <c r="C2" s="2"/>
      <c r="D2" s="2"/>
      <c r="E2" s="2"/>
    </row>
    <row r="3" spans="1:5">
      <c r="A3" s="3"/>
      <c r="B3" s="3"/>
      <c r="C3" s="3"/>
      <c r="D3" s="3"/>
      <c r="E3" s="3"/>
    </row>
    <row r="4" ht="30" customHeight="1" spans="1:5">
      <c r="A4" s="4" t="s">
        <v>35</v>
      </c>
      <c r="B4" s="5" t="s">
        <v>126</v>
      </c>
      <c r="C4" s="5" t="s">
        <v>16</v>
      </c>
      <c r="D4" s="5" t="s">
        <v>94</v>
      </c>
      <c r="E4" s="6" t="s">
        <v>53</v>
      </c>
    </row>
    <row r="5" spans="1:5">
      <c r="A5" s="7" t="s">
        <v>65</v>
      </c>
      <c r="B5" s="9">
        <v>2</v>
      </c>
      <c r="C5" s="9" t="s">
        <v>95</v>
      </c>
      <c r="D5" s="9">
        <v>30</v>
      </c>
      <c r="E5" s="7" t="s">
        <v>127</v>
      </c>
    </row>
    <row r="6" spans="1:5">
      <c r="A6" s="3"/>
      <c r="B6" s="15"/>
      <c r="C6" s="15"/>
      <c r="D6" s="15"/>
      <c r="E6" s="3"/>
    </row>
    <row r="7" spans="1:5">
      <c r="A7" s="3"/>
      <c r="B7" s="15"/>
      <c r="C7" s="15"/>
      <c r="D7" s="15"/>
      <c r="E7" s="3"/>
    </row>
    <row r="8" spans="1:5">
      <c r="A8" s="3"/>
      <c r="B8" s="15"/>
      <c r="C8" s="15"/>
      <c r="D8" s="15"/>
      <c r="E8" s="3"/>
    </row>
    <row r="9" spans="1:5">
      <c r="A9" s="3"/>
      <c r="B9" s="15"/>
      <c r="C9" s="15"/>
      <c r="D9" s="15"/>
      <c r="E9" s="3"/>
    </row>
    <row r="10" spans="1:5">
      <c r="A10" s="3"/>
      <c r="B10" s="15"/>
      <c r="C10" s="15"/>
      <c r="D10" s="15"/>
      <c r="E10" s="3"/>
    </row>
    <row r="11" spans="1:5">
      <c r="A11" s="3"/>
      <c r="B11" s="15"/>
      <c r="C11" s="15"/>
      <c r="D11" s="15"/>
      <c r="E11" s="3"/>
    </row>
    <row r="12" spans="1:5">
      <c r="A12" s="3"/>
      <c r="B12" s="15"/>
      <c r="C12" s="15"/>
      <c r="D12" s="15"/>
      <c r="E12" s="3"/>
    </row>
    <row r="13" spans="1:5">
      <c r="A13" s="3"/>
      <c r="B13" s="15"/>
      <c r="C13" s="15"/>
      <c r="D13" s="15"/>
      <c r="E13" s="3"/>
    </row>
    <row r="14" spans="1:5">
      <c r="A14" s="3"/>
      <c r="B14" s="15"/>
      <c r="C14" s="15"/>
      <c r="D14" s="15"/>
      <c r="E14" s="3"/>
    </row>
    <row r="15" spans="1:5">
      <c r="A15" s="3"/>
      <c r="B15" s="15"/>
      <c r="C15" s="15"/>
      <c r="D15" s="15"/>
      <c r="E15" s="3"/>
    </row>
    <row r="16" spans="1:5">
      <c r="A16" s="3"/>
      <c r="B16" s="15"/>
      <c r="C16" s="15"/>
      <c r="D16" s="15"/>
      <c r="E16" s="3"/>
    </row>
    <row r="17" spans="1:5">
      <c r="A17" s="3"/>
      <c r="B17" s="15"/>
      <c r="C17" s="15"/>
      <c r="D17" s="15"/>
      <c r="E17" s="3"/>
    </row>
    <row r="18" spans="1:5">
      <c r="A18" s="3"/>
      <c r="B18" s="15"/>
      <c r="C18" s="15"/>
      <c r="D18" s="15"/>
      <c r="E18" s="3"/>
    </row>
    <row r="19" spans="1:5">
      <c r="A19" s="3"/>
      <c r="B19" s="15"/>
      <c r="C19" s="15"/>
      <c r="D19" s="15"/>
      <c r="E19" s="3"/>
    </row>
    <row r="20" spans="1:5">
      <c r="A20" s="3"/>
      <c r="B20" s="15"/>
      <c r="C20" s="15"/>
      <c r="D20" s="15"/>
      <c r="E20" s="3"/>
    </row>
    <row r="21" spans="1:5">
      <c r="A21" s="3"/>
      <c r="B21" s="15"/>
      <c r="C21" s="15"/>
      <c r="D21" s="15"/>
      <c r="E21" s="3"/>
    </row>
    <row r="22" spans="1:5">
      <c r="A22" s="3"/>
      <c r="B22" s="15"/>
      <c r="C22" s="15"/>
      <c r="D22" s="15"/>
      <c r="E22" s="3"/>
    </row>
    <row r="23" spans="1:5">
      <c r="A23" s="3"/>
      <c r="B23" s="15"/>
      <c r="C23" s="15"/>
      <c r="D23" s="15"/>
      <c r="E23" s="3"/>
    </row>
    <row r="24" spans="1:5">
      <c r="A24" s="3"/>
      <c r="B24" s="15"/>
      <c r="C24" s="15"/>
      <c r="D24" s="15"/>
      <c r="E24" s="3"/>
    </row>
  </sheetData>
  <mergeCells count="2">
    <mergeCell ref="A1:E1"/>
    <mergeCell ref="A2:E2"/>
  </mergeCells>
  <dataValidations count="2">
    <dataValidation type="list" sqref="A5:A24">
      <formula1>"building.player_home,building.residential_house,building.lumber_cabin,building.fishing_hut,building.farm_field,building.market,building.warehouse,building.road,building.tree"</formula1>
    </dataValidation>
    <dataValidation type="list" sqref="C5:C24">
      <formula1>"金币,泥土,石头,原木,木板,树苗,蔬菜,鱼,黄金鱼"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showGridLines="0" workbookViewId="0">
      <selection activeCell="A1" sqref="A1:D1"/>
    </sheetView>
  </sheetViews>
  <sheetFormatPr defaultColWidth="9" defaultRowHeight="14" outlineLevelCol="3"/>
  <cols>
    <col min="1" max="1" width="28" customWidth="1"/>
    <col min="2" max="2" width="9" customWidth="1"/>
    <col min="3" max="3" width="16" customWidth="1"/>
    <col min="4" max="4" width="18" customWidth="1"/>
  </cols>
  <sheetData>
    <row r="1" ht="30" customHeight="1" spans="1:4">
      <c r="A1" s="1" t="s">
        <v>128</v>
      </c>
      <c r="B1" s="1"/>
      <c r="C1" s="1"/>
      <c r="D1" s="1"/>
    </row>
    <row r="2" ht="38" customHeight="1" spans="1:4">
      <c r="A2" s="2" t="s">
        <v>129</v>
      </c>
      <c r="B2" s="2"/>
      <c r="C2" s="2"/>
      <c r="D2" s="2"/>
    </row>
    <row r="3" spans="1:4">
      <c r="A3" s="3"/>
      <c r="B3" s="3"/>
      <c r="C3" s="3"/>
      <c r="D3" s="3"/>
    </row>
    <row r="4" ht="30" customHeight="1" spans="1:4">
      <c r="A4" s="4" t="s">
        <v>35</v>
      </c>
      <c r="B4" s="5" t="s">
        <v>112</v>
      </c>
      <c r="C4" s="5" t="s">
        <v>130</v>
      </c>
      <c r="D4" s="6" t="s">
        <v>131</v>
      </c>
    </row>
    <row r="5" spans="1:4">
      <c r="A5" s="7" t="s">
        <v>54</v>
      </c>
      <c r="B5" s="9">
        <v>1</v>
      </c>
      <c r="C5" s="9">
        <v>10</v>
      </c>
      <c r="D5" s="10" t="str">
        <f>IF(COUNTIFS(运营等级!$A$5:$A$24,A5,运营等级!$B$5:$B$24,B5)=0,"错误：缺少等级","通过")</f>
        <v>通过</v>
      </c>
    </row>
    <row r="6" spans="1:4">
      <c r="A6" s="11" t="s">
        <v>54</v>
      </c>
      <c r="B6" s="13">
        <v>2</v>
      </c>
      <c r="C6" s="13">
        <v>10</v>
      </c>
      <c r="D6" s="14" t="str">
        <f>IF(COUNTIFS(运营等级!$A$5:$A$24,A6,运营等级!$B$5:$B$24,B6)=0,"错误：缺少等级","通过")</f>
        <v>通过</v>
      </c>
    </row>
    <row r="7" spans="1:4">
      <c r="A7" s="11" t="s">
        <v>54</v>
      </c>
      <c r="B7" s="13">
        <v>3</v>
      </c>
      <c r="C7" s="13">
        <v>10</v>
      </c>
      <c r="D7" s="14" t="str">
        <f>IF(COUNTIFS(运营等级!$A$5:$A$24,A7,运营等级!$B$5:$B$24,B7)=0,"错误：缺少等级","通过")</f>
        <v>通过</v>
      </c>
    </row>
    <row r="8" spans="1:4">
      <c r="A8" s="11" t="s">
        <v>54</v>
      </c>
      <c r="B8" s="13">
        <v>4</v>
      </c>
      <c r="C8" s="13">
        <v>10</v>
      </c>
      <c r="D8" s="14" t="str">
        <f>IF(COUNTIFS(运营等级!$A$5:$A$24,A8,运营等级!$B$5:$B$24,B8)=0,"错误：缺少等级","通过")</f>
        <v>通过</v>
      </c>
    </row>
    <row r="9" spans="1:4">
      <c r="A9" s="3"/>
      <c r="B9" s="15"/>
      <c r="C9" s="15"/>
      <c r="D9" s="3"/>
    </row>
    <row r="10" spans="1:4">
      <c r="A10" s="3"/>
      <c r="B10" s="15"/>
      <c r="C10" s="15"/>
      <c r="D10" s="3"/>
    </row>
    <row r="11" spans="1:4">
      <c r="A11" s="3"/>
      <c r="B11" s="15"/>
      <c r="C11" s="15"/>
      <c r="D11" s="3"/>
    </row>
    <row r="12" spans="1:4">
      <c r="A12" s="3"/>
      <c r="B12" s="15"/>
      <c r="C12" s="15"/>
      <c r="D12" s="3"/>
    </row>
    <row r="13" spans="1:4">
      <c r="A13" s="3"/>
      <c r="B13" s="15"/>
      <c r="C13" s="15"/>
      <c r="D13" s="3"/>
    </row>
    <row r="14" spans="1:4">
      <c r="A14" s="3"/>
      <c r="B14" s="15"/>
      <c r="C14" s="15"/>
      <c r="D14" s="3"/>
    </row>
    <row r="15" spans="1:4">
      <c r="A15" s="3"/>
      <c r="B15" s="15"/>
      <c r="C15" s="15"/>
      <c r="D15" s="3"/>
    </row>
    <row r="16" spans="1:4">
      <c r="A16" s="3"/>
      <c r="B16" s="15"/>
      <c r="C16" s="15"/>
      <c r="D16" s="3"/>
    </row>
    <row r="17" spans="1:4">
      <c r="A17" s="3"/>
      <c r="B17" s="15"/>
      <c r="C17" s="15"/>
      <c r="D17" s="3"/>
    </row>
    <row r="18" spans="1:4">
      <c r="A18" s="3"/>
      <c r="B18" s="15"/>
      <c r="C18" s="15"/>
      <c r="D18" s="3"/>
    </row>
    <row r="19" spans="1:4">
      <c r="A19" s="3"/>
      <c r="B19" s="15"/>
      <c r="C19" s="15"/>
      <c r="D19" s="3"/>
    </row>
    <row r="20" spans="1:4">
      <c r="A20" s="3"/>
      <c r="B20" s="15"/>
      <c r="C20" s="15"/>
      <c r="D20" s="3"/>
    </row>
    <row r="21" spans="1:4">
      <c r="A21" s="3"/>
      <c r="B21" s="15"/>
      <c r="C21" s="15"/>
      <c r="D21" s="3"/>
    </row>
    <row r="22" spans="1:4">
      <c r="A22" s="3"/>
      <c r="B22" s="15"/>
      <c r="C22" s="15"/>
      <c r="D22" s="3"/>
    </row>
    <row r="23" spans="1:4">
      <c r="A23" s="3"/>
      <c r="B23" s="15"/>
      <c r="C23" s="15"/>
      <c r="D23" s="3"/>
    </row>
    <row r="24" spans="1:4">
      <c r="A24" s="3"/>
      <c r="B24" s="15"/>
      <c r="C24" s="15"/>
      <c r="D24" s="3"/>
    </row>
  </sheetData>
  <mergeCells count="2">
    <mergeCell ref="A1:D1"/>
    <mergeCell ref="A2:D2"/>
  </mergeCells>
  <conditionalFormatting sqref="D5:D8">
    <cfRule type="containsText" dxfId="0" priority="1" operator="between" text="通过">
      <formula>NOT(ISERROR(SEARCH("通过",D5)))</formula>
    </cfRule>
    <cfRule type="containsText" dxfId="1" priority="2" operator="between" text="待">
      <formula>NOT(ISERROR(SEARCH("待",D5)))</formula>
    </cfRule>
    <cfRule type="containsText" dxfId="2" priority="3" operator="between" text="错误">
      <formula>NOT(ISERROR(SEARCH("错误",D5)))</formula>
    </cfRule>
  </conditionalFormatting>
  <dataValidations count="1">
    <dataValidation type="list" sqref="A5:A24">
      <formula1>"building.player_home,building.residential_house,building.lumber_cabin,building.fishing_hut,building.farm_field,building.market,building.warehouse,building.road,building.tree"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showGridLines="0" workbookViewId="0">
      <selection activeCell="A1" sqref="A1:D1"/>
    </sheetView>
  </sheetViews>
  <sheetFormatPr defaultColWidth="9" defaultRowHeight="14" outlineLevelCol="3"/>
  <cols>
    <col min="1" max="1" width="28" customWidth="1"/>
    <col min="2" max="2" width="9" customWidth="1"/>
    <col min="3" max="3" width="16" customWidth="1"/>
    <col min="4" max="4" width="18" customWidth="1"/>
  </cols>
  <sheetData>
    <row r="1" ht="30" customHeight="1" spans="1:4">
      <c r="A1" s="1" t="s">
        <v>132</v>
      </c>
      <c r="B1" s="1"/>
      <c r="C1" s="1"/>
      <c r="D1" s="1"/>
    </row>
    <row r="2" ht="38" customHeight="1" spans="1:4">
      <c r="A2" s="2" t="s">
        <v>133</v>
      </c>
      <c r="B2" s="2"/>
      <c r="C2" s="2"/>
      <c r="D2" s="2"/>
    </row>
    <row r="3" spans="1:4">
      <c r="A3" s="3"/>
      <c r="B3" s="3"/>
      <c r="C3" s="3"/>
      <c r="D3" s="3"/>
    </row>
    <row r="4" ht="30" customHeight="1" spans="1:4">
      <c r="A4" s="4" t="s">
        <v>35</v>
      </c>
      <c r="B4" s="5" t="s">
        <v>112</v>
      </c>
      <c r="C4" s="5" t="s">
        <v>134</v>
      </c>
      <c r="D4" s="6" t="s">
        <v>131</v>
      </c>
    </row>
    <row r="5" spans="1:4">
      <c r="A5" s="7" t="s">
        <v>54</v>
      </c>
      <c r="B5" s="9">
        <v>1</v>
      </c>
      <c r="C5" s="9">
        <v>5</v>
      </c>
      <c r="D5" s="10" t="str">
        <f>IF(COUNTIFS(运营等级!$A$5:$A$24,A5,运营等级!$B$5:$B$24,B5)=0,"错误：缺少等级","通过")</f>
        <v>通过</v>
      </c>
    </row>
    <row r="6" spans="1:4">
      <c r="A6" s="11" t="s">
        <v>54</v>
      </c>
      <c r="B6" s="13">
        <v>2</v>
      </c>
      <c r="C6" s="13">
        <v>5</v>
      </c>
      <c r="D6" s="14" t="str">
        <f>IF(COUNTIFS(运营等级!$A$5:$A$24,A6,运营等级!$B$5:$B$24,B6)=0,"错误：缺少等级","通过")</f>
        <v>通过</v>
      </c>
    </row>
    <row r="7" spans="1:4">
      <c r="A7" s="11" t="s">
        <v>54</v>
      </c>
      <c r="B7" s="13">
        <v>3</v>
      </c>
      <c r="C7" s="13">
        <v>5</v>
      </c>
      <c r="D7" s="14" t="str">
        <f>IF(COUNTIFS(运营等级!$A$5:$A$24,A7,运营等级!$B$5:$B$24,B7)=0,"错误：缺少等级","通过")</f>
        <v>通过</v>
      </c>
    </row>
    <row r="8" spans="1:4">
      <c r="A8" s="11" t="s">
        <v>54</v>
      </c>
      <c r="B8" s="13">
        <v>4</v>
      </c>
      <c r="C8" s="13">
        <v>5</v>
      </c>
      <c r="D8" s="14" t="str">
        <f>IF(COUNTIFS(运营等级!$A$5:$A$24,A8,运营等级!$B$5:$B$24,B8)=0,"错误：缺少等级","通过")</f>
        <v>通过</v>
      </c>
    </row>
    <row r="9" spans="1:4">
      <c r="A9" s="3"/>
      <c r="B9" s="15"/>
      <c r="C9" s="15"/>
      <c r="D9" s="3"/>
    </row>
    <row r="10" spans="1:4">
      <c r="A10" s="3"/>
      <c r="B10" s="15"/>
      <c r="C10" s="15"/>
      <c r="D10" s="3"/>
    </row>
    <row r="11" spans="1:4">
      <c r="A11" s="3"/>
      <c r="B11" s="15"/>
      <c r="C11" s="15"/>
      <c r="D11" s="3"/>
    </row>
    <row r="12" spans="1:4">
      <c r="A12" s="3"/>
      <c r="B12" s="15"/>
      <c r="C12" s="15"/>
      <c r="D12" s="3"/>
    </row>
    <row r="13" spans="1:4">
      <c r="A13" s="3"/>
      <c r="B13" s="15"/>
      <c r="C13" s="15"/>
      <c r="D13" s="3"/>
    </row>
    <row r="14" spans="1:4">
      <c r="A14" s="3"/>
      <c r="B14" s="15"/>
      <c r="C14" s="15"/>
      <c r="D14" s="3"/>
    </row>
    <row r="15" spans="1:4">
      <c r="A15" s="3"/>
      <c r="B15" s="15"/>
      <c r="C15" s="15"/>
      <c r="D15" s="3"/>
    </row>
    <row r="16" spans="1:4">
      <c r="A16" s="3"/>
      <c r="B16" s="15"/>
      <c r="C16" s="15"/>
      <c r="D16" s="3"/>
    </row>
    <row r="17" spans="1:4">
      <c r="A17" s="3"/>
      <c r="B17" s="15"/>
      <c r="C17" s="15"/>
      <c r="D17" s="3"/>
    </row>
    <row r="18" spans="1:4">
      <c r="A18" s="3"/>
      <c r="B18" s="15"/>
      <c r="C18" s="15"/>
      <c r="D18" s="3"/>
    </row>
    <row r="19" spans="1:4">
      <c r="A19" s="3"/>
      <c r="B19" s="15"/>
      <c r="C19" s="15"/>
      <c r="D19" s="3"/>
    </row>
    <row r="20" spans="1:4">
      <c r="A20" s="3"/>
      <c r="B20" s="15"/>
      <c r="C20" s="15"/>
      <c r="D20" s="3"/>
    </row>
    <row r="21" spans="1:4">
      <c r="A21" s="3"/>
      <c r="B21" s="15"/>
      <c r="C21" s="15"/>
      <c r="D21" s="3"/>
    </row>
    <row r="22" spans="1:4">
      <c r="A22" s="3"/>
      <c r="B22" s="15"/>
      <c r="C22" s="15"/>
      <c r="D22" s="3"/>
    </row>
    <row r="23" spans="1:4">
      <c r="A23" s="3"/>
      <c r="B23" s="15"/>
      <c r="C23" s="15"/>
      <c r="D23" s="3"/>
    </row>
    <row r="24" spans="1:4">
      <c r="A24" s="3"/>
      <c r="B24" s="15"/>
      <c r="C24" s="15"/>
      <c r="D24" s="3"/>
    </row>
  </sheetData>
  <mergeCells count="2">
    <mergeCell ref="A1:D1"/>
    <mergeCell ref="A2:D2"/>
  </mergeCells>
  <conditionalFormatting sqref="D5:D8">
    <cfRule type="containsText" dxfId="0" priority="1" operator="between" text="通过">
      <formula>NOT(ISERROR(SEARCH("通过",D5)))</formula>
    </cfRule>
    <cfRule type="containsText" dxfId="1" priority="2" operator="between" text="待">
      <formula>NOT(ISERROR(SEARCH("待",D5)))</formula>
    </cfRule>
    <cfRule type="containsText" dxfId="2" priority="3" operator="between" text="错误">
      <formula>NOT(ISERROR(SEARCH("错误",D5)))</formula>
    </cfRule>
  </conditionalFormatting>
  <dataValidations count="1">
    <dataValidation type="list" sqref="A5:A24">
      <formula1>"building.player_home,building.residential_house,building.lumber_cabin,building.fishing_hut,building.farm_field,building.market,building.warehouse,building.road,building.tree"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showGridLines="0" workbookViewId="0">
      <selection activeCell="A1" sqref="A1:D1"/>
    </sheetView>
  </sheetViews>
  <sheetFormatPr defaultColWidth="9" defaultRowHeight="14" outlineLevelCol="3"/>
  <cols>
    <col min="1" max="1" width="28" customWidth="1"/>
    <col min="2" max="2" width="9" customWidth="1"/>
    <col min="3" max="3" width="16" customWidth="1"/>
    <col min="4" max="4" width="18" customWidth="1"/>
  </cols>
  <sheetData>
    <row r="1" ht="30" customHeight="1" spans="1:4">
      <c r="A1" s="1" t="s">
        <v>135</v>
      </c>
      <c r="B1" s="1"/>
      <c r="C1" s="1"/>
      <c r="D1" s="1"/>
    </row>
    <row r="2" ht="38" customHeight="1" spans="1:4">
      <c r="A2" s="2" t="s">
        <v>136</v>
      </c>
      <c r="B2" s="2"/>
      <c r="C2" s="2"/>
      <c r="D2" s="2"/>
    </row>
    <row r="3" spans="1:4">
      <c r="A3" s="3"/>
      <c r="B3" s="3"/>
      <c r="C3" s="3"/>
      <c r="D3" s="3"/>
    </row>
    <row r="4" ht="30" customHeight="1" spans="1:4">
      <c r="A4" s="4" t="s">
        <v>35</v>
      </c>
      <c r="B4" s="5" t="s">
        <v>112</v>
      </c>
      <c r="C4" s="5" t="s">
        <v>137</v>
      </c>
      <c r="D4" s="6" t="s">
        <v>131</v>
      </c>
    </row>
    <row r="5" spans="1:4">
      <c r="A5" s="7" t="s">
        <v>54</v>
      </c>
      <c r="B5" s="9">
        <v>1</v>
      </c>
      <c r="C5" s="9">
        <v>1</v>
      </c>
      <c r="D5" s="10" t="str">
        <f>IF(COUNTIFS(运营等级!$A$5:$A$24,A5,运营等级!$B$5:$B$24,B5)=0,"错误：缺少等级","通过")</f>
        <v>通过</v>
      </c>
    </row>
    <row r="6" spans="1:4">
      <c r="A6" s="11" t="s">
        <v>54</v>
      </c>
      <c r="B6" s="13">
        <v>2</v>
      </c>
      <c r="C6" s="13">
        <v>1</v>
      </c>
      <c r="D6" s="14" t="str">
        <f>IF(COUNTIFS(运营等级!$A$5:$A$24,A6,运营等级!$B$5:$B$24,B6)=0,"错误：缺少等级","通过")</f>
        <v>通过</v>
      </c>
    </row>
    <row r="7" spans="1:4">
      <c r="A7" s="11" t="s">
        <v>54</v>
      </c>
      <c r="B7" s="13">
        <v>3</v>
      </c>
      <c r="C7" s="13">
        <v>1</v>
      </c>
      <c r="D7" s="14" t="str">
        <f>IF(COUNTIFS(运营等级!$A$5:$A$24,A7,运营等级!$B$5:$B$24,B7)=0,"错误：缺少等级","通过")</f>
        <v>通过</v>
      </c>
    </row>
    <row r="8" spans="1:4">
      <c r="A8" s="11" t="s">
        <v>54</v>
      </c>
      <c r="B8" s="13">
        <v>4</v>
      </c>
      <c r="C8" s="13">
        <v>1</v>
      </c>
      <c r="D8" s="14" t="str">
        <f>IF(COUNTIFS(运营等级!$A$5:$A$24,A8,运营等级!$B$5:$B$24,B8)=0,"错误：缺少等级","通过")</f>
        <v>通过</v>
      </c>
    </row>
    <row r="9" spans="1:4">
      <c r="A9" s="3"/>
      <c r="B9" s="15"/>
      <c r="C9" s="15"/>
      <c r="D9" s="3"/>
    </row>
    <row r="10" spans="1:4">
      <c r="A10" s="3"/>
      <c r="B10" s="15"/>
      <c r="C10" s="15"/>
      <c r="D10" s="3"/>
    </row>
    <row r="11" spans="1:4">
      <c r="A11" s="3"/>
      <c r="B11" s="15"/>
      <c r="C11" s="15"/>
      <c r="D11" s="3"/>
    </row>
    <row r="12" spans="1:4">
      <c r="A12" s="3"/>
      <c r="B12" s="15"/>
      <c r="C12" s="15"/>
      <c r="D12" s="3"/>
    </row>
    <row r="13" spans="1:4">
      <c r="A13" s="3"/>
      <c r="B13" s="15"/>
      <c r="C13" s="15"/>
      <c r="D13" s="3"/>
    </row>
    <row r="14" spans="1:4">
      <c r="A14" s="3"/>
      <c r="B14" s="15"/>
      <c r="C14" s="15"/>
      <c r="D14" s="3"/>
    </row>
    <row r="15" spans="1:4">
      <c r="A15" s="3"/>
      <c r="B15" s="15"/>
      <c r="C15" s="15"/>
      <c r="D15" s="3"/>
    </row>
    <row r="16" spans="1:4">
      <c r="A16" s="3"/>
      <c r="B16" s="15"/>
      <c r="C16" s="15"/>
      <c r="D16" s="3"/>
    </row>
    <row r="17" spans="1:4">
      <c r="A17" s="3"/>
      <c r="B17" s="15"/>
      <c r="C17" s="15"/>
      <c r="D17" s="3"/>
    </row>
    <row r="18" spans="1:4">
      <c r="A18" s="3"/>
      <c r="B18" s="15"/>
      <c r="C18" s="15"/>
      <c r="D18" s="3"/>
    </row>
    <row r="19" spans="1:4">
      <c r="A19" s="3"/>
      <c r="B19" s="15"/>
      <c r="C19" s="15"/>
      <c r="D19" s="3"/>
    </row>
    <row r="20" spans="1:4">
      <c r="A20" s="3"/>
      <c r="B20" s="15"/>
      <c r="C20" s="15"/>
      <c r="D20" s="3"/>
    </row>
    <row r="21" spans="1:4">
      <c r="A21" s="3"/>
      <c r="B21" s="15"/>
      <c r="C21" s="15"/>
      <c r="D21" s="3"/>
    </row>
    <row r="22" spans="1:4">
      <c r="A22" s="3"/>
      <c r="B22" s="15"/>
      <c r="C22" s="15"/>
      <c r="D22" s="3"/>
    </row>
    <row r="23" spans="1:4">
      <c r="A23" s="3"/>
      <c r="B23" s="15"/>
      <c r="C23" s="15"/>
      <c r="D23" s="3"/>
    </row>
    <row r="24" spans="1:4">
      <c r="A24" s="3"/>
      <c r="B24" s="15"/>
      <c r="C24" s="15"/>
      <c r="D24" s="3"/>
    </row>
  </sheetData>
  <mergeCells count="2">
    <mergeCell ref="A1:D1"/>
    <mergeCell ref="A2:D2"/>
  </mergeCells>
  <conditionalFormatting sqref="D5:D8">
    <cfRule type="containsText" dxfId="0" priority="1" operator="between" text="通过">
      <formula>NOT(ISERROR(SEARCH("通过",D5)))</formula>
    </cfRule>
    <cfRule type="containsText" dxfId="1" priority="2" operator="between" text="待">
      <formula>NOT(ISERROR(SEARCH("待",D5)))</formula>
    </cfRule>
    <cfRule type="containsText" dxfId="2" priority="3" operator="between" text="错误">
      <formula>NOT(ISERROR(SEARCH("错误",D5)))</formula>
    </cfRule>
  </conditionalFormatting>
  <dataValidations count="1">
    <dataValidation type="list" sqref="A5:A24">
      <formula1>"building.player_home,building.residential_house,building.lumber_cabin,building.fishing_hut,building.farm_field,building.market,building.warehouse,building.road,building.tree"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showGridLines="0" workbookViewId="0">
      <selection activeCell="A1" sqref="A1:K1"/>
    </sheetView>
  </sheetViews>
  <sheetFormatPr defaultColWidth="9" defaultRowHeight="14"/>
  <cols>
    <col min="1" max="1" width="28" customWidth="1"/>
    <col min="2" max="2" width="9" customWidth="1"/>
    <col min="3" max="4" width="11" customWidth="1"/>
    <col min="5" max="5" width="15" customWidth="1"/>
    <col min="6" max="6" width="11" customWidth="1"/>
    <col min="7" max="8" width="15" customWidth="1"/>
    <col min="9" max="9" width="11" customWidth="1"/>
    <col min="10" max="11" width="18" customWidth="1"/>
  </cols>
  <sheetData>
    <row r="1" ht="30" customHeight="1" spans="1:11">
      <c r="A1" s="1" t="s">
        <v>138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8" customHeight="1" spans="1:11">
      <c r="A2" s="2" t="s">
        <v>139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ht="30" customHeight="1" spans="1:11">
      <c r="A4" s="4" t="s">
        <v>35</v>
      </c>
      <c r="B4" s="5" t="s">
        <v>112</v>
      </c>
      <c r="C4" s="5" t="s">
        <v>140</v>
      </c>
      <c r="D4" s="5" t="s">
        <v>141</v>
      </c>
      <c r="E4" s="5" t="s">
        <v>142</v>
      </c>
      <c r="F4" s="5" t="s">
        <v>143</v>
      </c>
      <c r="G4" s="5" t="s">
        <v>144</v>
      </c>
      <c r="H4" s="5" t="s">
        <v>145</v>
      </c>
      <c r="I4" s="5" t="s">
        <v>146</v>
      </c>
      <c r="J4" s="5" t="s">
        <v>147</v>
      </c>
      <c r="K4" s="6" t="s">
        <v>131</v>
      </c>
    </row>
    <row r="5" spans="1:11">
      <c r="A5" s="7" t="s">
        <v>61</v>
      </c>
      <c r="B5" s="9">
        <v>1</v>
      </c>
      <c r="C5" s="9">
        <v>2</v>
      </c>
      <c r="D5" s="9">
        <v>5</v>
      </c>
      <c r="E5" s="9" t="s">
        <v>148</v>
      </c>
      <c r="F5" s="9">
        <v>3</v>
      </c>
      <c r="G5" s="9">
        <v>3</v>
      </c>
      <c r="H5" s="9" t="s">
        <v>95</v>
      </c>
      <c r="I5" s="9">
        <v>5</v>
      </c>
      <c r="J5" s="8">
        <f>D5</f>
        <v>5</v>
      </c>
      <c r="K5" s="10" t="str">
        <f>IF(D5&lt;C5,"错误：人口上限","通过")</f>
        <v>通过</v>
      </c>
    </row>
    <row r="6" spans="1:11">
      <c r="A6" s="11" t="s">
        <v>61</v>
      </c>
      <c r="B6" s="13">
        <v>2</v>
      </c>
      <c r="C6" s="13">
        <v>2</v>
      </c>
      <c r="D6" s="13">
        <v>5</v>
      </c>
      <c r="E6" s="13" t="s">
        <v>148</v>
      </c>
      <c r="F6" s="13">
        <v>3</v>
      </c>
      <c r="G6" s="13">
        <v>3</v>
      </c>
      <c r="H6" s="13" t="s">
        <v>95</v>
      </c>
      <c r="I6" s="13">
        <v>5</v>
      </c>
      <c r="J6" s="12">
        <f>D6</f>
        <v>5</v>
      </c>
      <c r="K6" s="14" t="str">
        <f>IF(D6&lt;C6,"错误：人口上限","通过")</f>
        <v>通过</v>
      </c>
    </row>
    <row r="7" spans="1:11">
      <c r="A7" s="11" t="s">
        <v>61</v>
      </c>
      <c r="B7" s="13">
        <v>3</v>
      </c>
      <c r="C7" s="13">
        <v>2</v>
      </c>
      <c r="D7" s="13">
        <v>5</v>
      </c>
      <c r="E7" s="13" t="s">
        <v>148</v>
      </c>
      <c r="F7" s="13">
        <v>3</v>
      </c>
      <c r="G7" s="13">
        <v>3</v>
      </c>
      <c r="H7" s="13" t="s">
        <v>95</v>
      </c>
      <c r="I7" s="13">
        <v>5</v>
      </c>
      <c r="J7" s="12">
        <f>D7</f>
        <v>5</v>
      </c>
      <c r="K7" s="14" t="str">
        <f>IF(D7&lt;C7,"错误：人口上限","通过")</f>
        <v>通过</v>
      </c>
    </row>
    <row r="8" spans="1:11">
      <c r="A8" s="11" t="s">
        <v>61</v>
      </c>
      <c r="B8" s="13">
        <v>4</v>
      </c>
      <c r="C8" s="13">
        <v>2</v>
      </c>
      <c r="D8" s="13">
        <v>5</v>
      </c>
      <c r="E8" s="13" t="s">
        <v>148</v>
      </c>
      <c r="F8" s="13">
        <v>3</v>
      </c>
      <c r="G8" s="13">
        <v>3</v>
      </c>
      <c r="H8" s="13" t="s">
        <v>95</v>
      </c>
      <c r="I8" s="13">
        <v>5</v>
      </c>
      <c r="J8" s="12">
        <f>D8</f>
        <v>5</v>
      </c>
      <c r="K8" s="14" t="str">
        <f>IF(D8&lt;C8,"错误：人口上限","通过")</f>
        <v>通过</v>
      </c>
    </row>
    <row r="9" spans="1:11">
      <c r="A9" s="3"/>
      <c r="B9" s="15"/>
      <c r="C9" s="15"/>
      <c r="D9" s="15"/>
      <c r="E9" s="15"/>
      <c r="F9" s="15"/>
      <c r="G9" s="15"/>
      <c r="H9" s="15"/>
      <c r="I9" s="15"/>
      <c r="J9" s="15"/>
      <c r="K9" s="3"/>
    </row>
    <row r="10" spans="1:11">
      <c r="A10" s="3"/>
      <c r="B10" s="15"/>
      <c r="C10" s="15"/>
      <c r="D10" s="15"/>
      <c r="E10" s="15"/>
      <c r="F10" s="15"/>
      <c r="G10" s="15"/>
      <c r="H10" s="15"/>
      <c r="I10" s="15"/>
      <c r="J10" s="15"/>
      <c r="K10" s="3"/>
    </row>
    <row r="11" spans="1:11">
      <c r="A11" s="3"/>
      <c r="B11" s="15"/>
      <c r="C11" s="15"/>
      <c r="D11" s="15"/>
      <c r="E11" s="15"/>
      <c r="F11" s="15"/>
      <c r="G11" s="15"/>
      <c r="H11" s="15"/>
      <c r="I11" s="15"/>
      <c r="J11" s="15"/>
      <c r="K11" s="3"/>
    </row>
    <row r="12" spans="1:11">
      <c r="A12" s="3"/>
      <c r="B12" s="15"/>
      <c r="C12" s="15"/>
      <c r="D12" s="15"/>
      <c r="E12" s="15"/>
      <c r="F12" s="15"/>
      <c r="G12" s="15"/>
      <c r="H12" s="15"/>
      <c r="I12" s="15"/>
      <c r="J12" s="15"/>
      <c r="K12" s="3"/>
    </row>
    <row r="13" spans="1:11">
      <c r="A13" s="3"/>
      <c r="B13" s="15"/>
      <c r="C13" s="15"/>
      <c r="D13" s="15"/>
      <c r="E13" s="15"/>
      <c r="F13" s="15"/>
      <c r="G13" s="15"/>
      <c r="H13" s="15"/>
      <c r="I13" s="15"/>
      <c r="J13" s="15"/>
      <c r="K13" s="3"/>
    </row>
    <row r="14" spans="1:11">
      <c r="A14" s="3"/>
      <c r="B14" s="15"/>
      <c r="C14" s="15"/>
      <c r="D14" s="15"/>
      <c r="E14" s="15"/>
      <c r="F14" s="15"/>
      <c r="G14" s="15"/>
      <c r="H14" s="15"/>
      <c r="I14" s="15"/>
      <c r="J14" s="15"/>
      <c r="K14" s="3"/>
    </row>
    <row r="15" spans="1:11">
      <c r="A15" s="3"/>
      <c r="B15" s="15"/>
      <c r="C15" s="15"/>
      <c r="D15" s="15"/>
      <c r="E15" s="15"/>
      <c r="F15" s="15"/>
      <c r="G15" s="15"/>
      <c r="H15" s="15"/>
      <c r="I15" s="15"/>
      <c r="J15" s="15"/>
      <c r="K15" s="3"/>
    </row>
    <row r="16" spans="1:11">
      <c r="A16" s="3"/>
      <c r="B16" s="15"/>
      <c r="C16" s="15"/>
      <c r="D16" s="15"/>
      <c r="E16" s="15"/>
      <c r="F16" s="15"/>
      <c r="G16" s="15"/>
      <c r="H16" s="15"/>
      <c r="I16" s="15"/>
      <c r="J16" s="15"/>
      <c r="K16" s="3"/>
    </row>
    <row r="17" spans="1:11">
      <c r="A17" s="3"/>
      <c r="B17" s="15"/>
      <c r="C17" s="15"/>
      <c r="D17" s="15"/>
      <c r="E17" s="15"/>
      <c r="F17" s="15"/>
      <c r="G17" s="15"/>
      <c r="H17" s="15"/>
      <c r="I17" s="15"/>
      <c r="J17" s="15"/>
      <c r="K17" s="3"/>
    </row>
    <row r="18" spans="1:11">
      <c r="A18" s="3"/>
      <c r="B18" s="15"/>
      <c r="C18" s="15"/>
      <c r="D18" s="15"/>
      <c r="E18" s="15"/>
      <c r="F18" s="15"/>
      <c r="G18" s="15"/>
      <c r="H18" s="15"/>
      <c r="I18" s="15"/>
      <c r="J18" s="15"/>
      <c r="K18" s="3"/>
    </row>
    <row r="19" spans="1:11">
      <c r="A19" s="3"/>
      <c r="B19" s="15"/>
      <c r="C19" s="15"/>
      <c r="D19" s="15"/>
      <c r="E19" s="15"/>
      <c r="F19" s="15"/>
      <c r="G19" s="15"/>
      <c r="H19" s="15"/>
      <c r="I19" s="15"/>
      <c r="J19" s="15"/>
      <c r="K19" s="3"/>
    </row>
    <row r="20" spans="1:11">
      <c r="A20" s="3"/>
      <c r="B20" s="15"/>
      <c r="C20" s="15"/>
      <c r="D20" s="15"/>
      <c r="E20" s="15"/>
      <c r="F20" s="15"/>
      <c r="G20" s="15"/>
      <c r="H20" s="15"/>
      <c r="I20" s="15"/>
      <c r="J20" s="15"/>
      <c r="K20" s="3"/>
    </row>
    <row r="21" spans="1:11">
      <c r="A21" s="3"/>
      <c r="B21" s="15"/>
      <c r="C21" s="15"/>
      <c r="D21" s="15"/>
      <c r="E21" s="15"/>
      <c r="F21" s="15"/>
      <c r="G21" s="15"/>
      <c r="H21" s="15"/>
      <c r="I21" s="15"/>
      <c r="J21" s="15"/>
      <c r="K21" s="3"/>
    </row>
    <row r="22" spans="1:11">
      <c r="A22" s="3"/>
      <c r="B22" s="15"/>
      <c r="C22" s="15"/>
      <c r="D22" s="15"/>
      <c r="E22" s="15"/>
      <c r="F22" s="15"/>
      <c r="G22" s="15"/>
      <c r="H22" s="15"/>
      <c r="I22" s="15"/>
      <c r="J22" s="15"/>
      <c r="K22" s="3"/>
    </row>
    <row r="23" spans="1:11">
      <c r="A23" s="3"/>
      <c r="B23" s="15"/>
      <c r="C23" s="15"/>
      <c r="D23" s="15"/>
      <c r="E23" s="15"/>
      <c r="F23" s="15"/>
      <c r="G23" s="15"/>
      <c r="H23" s="15"/>
      <c r="I23" s="15"/>
      <c r="J23" s="15"/>
      <c r="K23" s="3"/>
    </row>
    <row r="24" spans="1:11">
      <c r="A24" s="3"/>
      <c r="B24" s="15"/>
      <c r="C24" s="15"/>
      <c r="D24" s="15"/>
      <c r="E24" s="15"/>
      <c r="F24" s="15"/>
      <c r="G24" s="15"/>
      <c r="H24" s="15"/>
      <c r="I24" s="15"/>
      <c r="J24" s="15"/>
      <c r="K24" s="3"/>
    </row>
  </sheetData>
  <mergeCells count="2">
    <mergeCell ref="A1:K1"/>
    <mergeCell ref="A2:K2"/>
  </mergeCells>
  <conditionalFormatting sqref="K5:K24">
    <cfRule type="containsText" dxfId="0" priority="1" operator="between" text="通过">
      <formula>NOT(ISERROR(SEARCH("通过",K5)))</formula>
    </cfRule>
    <cfRule type="containsText" dxfId="1" priority="2" operator="between" text="待">
      <formula>NOT(ISERROR(SEARCH("待",K5)))</formula>
    </cfRule>
    <cfRule type="containsText" dxfId="2" priority="3" operator="between" text="错误">
      <formula>NOT(ISERROR(SEARCH("错误",K5)))</formula>
    </cfRule>
  </conditionalFormatting>
  <dataValidations count="2">
    <dataValidation type="list" sqref="A5:A24">
      <formula1>"building.player_home,building.residential_house,building.lumber_cabin,building.fishing_hut,building.farm_field,building.market,building.warehouse,building.road,building.tree"</formula1>
    </dataValidation>
    <dataValidation type="list" sqref="E5:E24 H5:H24">
      <formula1>"金币,泥土,石头,原木,木板,树苗,蔬菜,鱼,黄金鱼"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showGridLines="0" workbookViewId="0">
      <selection activeCell="A1" sqref="A1:J1"/>
    </sheetView>
  </sheetViews>
  <sheetFormatPr defaultColWidth="9" defaultRowHeight="14"/>
  <cols>
    <col min="1" max="1" width="28" customWidth="1"/>
    <col min="2" max="2" width="9" customWidth="1"/>
    <col min="3" max="4" width="11" customWidth="1"/>
    <col min="5" max="5" width="13" customWidth="1"/>
    <col min="6" max="7" width="11" customWidth="1"/>
    <col min="8" max="9" width="15" customWidth="1"/>
    <col min="10" max="10" width="20" customWidth="1"/>
  </cols>
  <sheetData>
    <row r="1" ht="30" customHeight="1" spans="1:10">
      <c r="A1" s="1" t="s">
        <v>149</v>
      </c>
      <c r="B1" s="1"/>
      <c r="C1" s="1"/>
      <c r="D1" s="1"/>
      <c r="E1" s="1"/>
      <c r="F1" s="1"/>
      <c r="G1" s="1"/>
      <c r="H1" s="1"/>
      <c r="I1" s="1"/>
      <c r="J1" s="1"/>
    </row>
    <row r="2" ht="38" customHeight="1" spans="1:10">
      <c r="A2" s="2" t="s">
        <v>150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3"/>
      <c r="B3" s="3"/>
      <c r="C3" s="3"/>
      <c r="D3" s="3"/>
      <c r="E3" s="3"/>
      <c r="F3" s="3"/>
      <c r="G3" s="3"/>
      <c r="H3" s="3"/>
      <c r="I3" s="3"/>
      <c r="J3" s="3"/>
    </row>
    <row r="4" ht="30" customHeight="1" spans="1:10">
      <c r="A4" s="4" t="s">
        <v>35</v>
      </c>
      <c r="B4" s="5" t="s">
        <v>112</v>
      </c>
      <c r="C4" s="5" t="s">
        <v>151</v>
      </c>
      <c r="D4" s="5" t="s">
        <v>152</v>
      </c>
      <c r="E4" s="5" t="s">
        <v>153</v>
      </c>
      <c r="F4" s="5" t="s">
        <v>154</v>
      </c>
      <c r="G4" s="5" t="s">
        <v>155</v>
      </c>
      <c r="H4" s="5" t="s">
        <v>156</v>
      </c>
      <c r="I4" s="5" t="s">
        <v>157</v>
      </c>
      <c r="J4" s="6" t="s">
        <v>131</v>
      </c>
    </row>
    <row r="5" spans="1:10">
      <c r="A5" s="7" t="s">
        <v>65</v>
      </c>
      <c r="B5" s="9">
        <v>1</v>
      </c>
      <c r="C5" s="9">
        <v>3</v>
      </c>
      <c r="D5" s="9">
        <v>2</v>
      </c>
      <c r="E5" s="9">
        <v>55</v>
      </c>
      <c r="F5" s="9">
        <v>10</v>
      </c>
      <c r="G5" s="7" t="s">
        <v>57</v>
      </c>
      <c r="H5" s="9">
        <v>0</v>
      </c>
      <c r="I5" s="7" t="s">
        <v>95</v>
      </c>
      <c r="J5" s="10" t="str">
        <f t="shared" ref="J5:J13" si="0">IF(OR(D5&gt;C5,H5&gt;C5),"错误：工人超上限","通过")</f>
        <v>通过</v>
      </c>
    </row>
    <row r="6" spans="1:10">
      <c r="A6" s="11" t="s">
        <v>65</v>
      </c>
      <c r="B6" s="13">
        <v>2</v>
      </c>
      <c r="C6" s="13">
        <v>5</v>
      </c>
      <c r="D6" s="13">
        <v>2</v>
      </c>
      <c r="E6" s="13">
        <v>55</v>
      </c>
      <c r="F6" s="13">
        <v>10</v>
      </c>
      <c r="G6" s="11" t="s">
        <v>57</v>
      </c>
      <c r="H6" s="13">
        <v>0</v>
      </c>
      <c r="I6" s="11" t="s">
        <v>95</v>
      </c>
      <c r="J6" s="14" t="str">
        <f t="shared" si="0"/>
        <v>通过</v>
      </c>
    </row>
    <row r="7" spans="1:10">
      <c r="A7" s="11" t="s">
        <v>69</v>
      </c>
      <c r="B7" s="13">
        <v>1</v>
      </c>
      <c r="C7" s="13">
        <v>3</v>
      </c>
      <c r="D7" s="13">
        <v>0</v>
      </c>
      <c r="E7" s="13">
        <v>55</v>
      </c>
      <c r="F7" s="13">
        <v>10</v>
      </c>
      <c r="G7" s="11" t="s">
        <v>57</v>
      </c>
      <c r="H7" s="13">
        <v>0</v>
      </c>
      <c r="I7" s="11" t="s">
        <v>95</v>
      </c>
      <c r="J7" s="14" t="str">
        <f t="shared" si="0"/>
        <v>通过</v>
      </c>
    </row>
    <row r="8" spans="1:10">
      <c r="A8" s="11" t="s">
        <v>69</v>
      </c>
      <c r="B8" s="13">
        <v>2</v>
      </c>
      <c r="C8" s="13">
        <v>3</v>
      </c>
      <c r="D8" s="13">
        <v>0</v>
      </c>
      <c r="E8" s="13">
        <v>55</v>
      </c>
      <c r="F8" s="13">
        <v>10</v>
      </c>
      <c r="G8" s="11" t="s">
        <v>57</v>
      </c>
      <c r="H8" s="13">
        <v>0</v>
      </c>
      <c r="I8" s="11" t="s">
        <v>95</v>
      </c>
      <c r="J8" s="14" t="str">
        <f t="shared" si="0"/>
        <v>通过</v>
      </c>
    </row>
    <row r="9" spans="1:10">
      <c r="A9" s="11" t="s">
        <v>73</v>
      </c>
      <c r="B9" s="13">
        <v>1</v>
      </c>
      <c r="C9" s="13">
        <v>2</v>
      </c>
      <c r="D9" s="13">
        <v>0</v>
      </c>
      <c r="E9" s="13">
        <v>55</v>
      </c>
      <c r="F9" s="13">
        <v>10</v>
      </c>
      <c r="G9" s="11" t="s">
        <v>57</v>
      </c>
      <c r="H9" s="13">
        <v>0</v>
      </c>
      <c r="I9" s="11" t="s">
        <v>95</v>
      </c>
      <c r="J9" s="14" t="str">
        <f t="shared" si="0"/>
        <v>通过</v>
      </c>
    </row>
    <row r="10" spans="1:10">
      <c r="A10" s="11" t="s">
        <v>76</v>
      </c>
      <c r="B10" s="13">
        <v>1</v>
      </c>
      <c r="C10" s="13">
        <v>3</v>
      </c>
      <c r="D10" s="13">
        <v>3</v>
      </c>
      <c r="E10" s="13">
        <v>100</v>
      </c>
      <c r="F10" s="13">
        <v>10</v>
      </c>
      <c r="G10" s="11" t="s">
        <v>59</v>
      </c>
      <c r="H10" s="13">
        <v>3</v>
      </c>
      <c r="I10" s="11" t="s">
        <v>95</v>
      </c>
      <c r="J10" s="14" t="str">
        <f t="shared" si="0"/>
        <v>通过</v>
      </c>
    </row>
    <row r="11" spans="1:10">
      <c r="A11" s="11" t="s">
        <v>80</v>
      </c>
      <c r="B11" s="13">
        <v>1</v>
      </c>
      <c r="C11" s="13">
        <v>2</v>
      </c>
      <c r="D11" s="13">
        <v>0</v>
      </c>
      <c r="E11" s="13">
        <v>55</v>
      </c>
      <c r="F11" s="13">
        <v>10</v>
      </c>
      <c r="G11" s="11" t="s">
        <v>57</v>
      </c>
      <c r="H11" s="13">
        <v>0</v>
      </c>
      <c r="I11" s="11" t="s">
        <v>95</v>
      </c>
      <c r="J11" s="14" t="str">
        <f t="shared" si="0"/>
        <v>通过</v>
      </c>
    </row>
    <row r="12" spans="1:10">
      <c r="A12" s="11" t="s">
        <v>80</v>
      </c>
      <c r="B12" s="13">
        <v>2</v>
      </c>
      <c r="C12" s="13">
        <v>3</v>
      </c>
      <c r="D12" s="13">
        <v>0</v>
      </c>
      <c r="E12" s="13">
        <v>55</v>
      </c>
      <c r="F12" s="13">
        <v>10</v>
      </c>
      <c r="G12" s="11" t="s">
        <v>57</v>
      </c>
      <c r="H12" s="13">
        <v>0</v>
      </c>
      <c r="I12" s="11" t="s">
        <v>95</v>
      </c>
      <c r="J12" s="14" t="str">
        <f t="shared" si="0"/>
        <v>通过</v>
      </c>
    </row>
    <row r="13" spans="1:10">
      <c r="A13" s="11" t="s">
        <v>80</v>
      </c>
      <c r="B13" s="13">
        <v>3</v>
      </c>
      <c r="C13" s="13">
        <v>5</v>
      </c>
      <c r="D13" s="13">
        <v>0</v>
      </c>
      <c r="E13" s="13">
        <v>55</v>
      </c>
      <c r="F13" s="13">
        <v>10</v>
      </c>
      <c r="G13" s="11" t="s">
        <v>57</v>
      </c>
      <c r="H13" s="13">
        <v>0</v>
      </c>
      <c r="I13" s="11" t="s">
        <v>95</v>
      </c>
      <c r="J13" s="14" t="str">
        <f t="shared" si="0"/>
        <v>通过</v>
      </c>
    </row>
    <row r="14" spans="1:10">
      <c r="A14" s="3"/>
      <c r="B14" s="15"/>
      <c r="C14" s="15"/>
      <c r="D14" s="15"/>
      <c r="E14" s="15"/>
      <c r="F14" s="15"/>
      <c r="G14" s="3"/>
      <c r="H14" s="15"/>
      <c r="I14" s="3"/>
      <c r="J14" s="3"/>
    </row>
    <row r="15" spans="1:10">
      <c r="A15" s="3"/>
      <c r="B15" s="15"/>
      <c r="C15" s="15"/>
      <c r="D15" s="15"/>
      <c r="E15" s="15"/>
      <c r="F15" s="15"/>
      <c r="G15" s="3"/>
      <c r="H15" s="15"/>
      <c r="I15" s="3"/>
      <c r="J15" s="3"/>
    </row>
    <row r="16" spans="1:10">
      <c r="A16" s="3"/>
      <c r="B16" s="15"/>
      <c r="C16" s="15"/>
      <c r="D16" s="15"/>
      <c r="E16" s="15"/>
      <c r="F16" s="15"/>
      <c r="G16" s="3"/>
      <c r="H16" s="15"/>
      <c r="I16" s="3"/>
      <c r="J16" s="3"/>
    </row>
    <row r="17" spans="1:10">
      <c r="A17" s="3"/>
      <c r="B17" s="15"/>
      <c r="C17" s="15"/>
      <c r="D17" s="15"/>
      <c r="E17" s="15"/>
      <c r="F17" s="15"/>
      <c r="G17" s="3"/>
      <c r="H17" s="15"/>
      <c r="I17" s="3"/>
      <c r="J17" s="3"/>
    </row>
    <row r="18" spans="1:10">
      <c r="A18" s="3"/>
      <c r="B18" s="15"/>
      <c r="C18" s="15"/>
      <c r="D18" s="15"/>
      <c r="E18" s="15"/>
      <c r="F18" s="15"/>
      <c r="G18" s="3"/>
      <c r="H18" s="15"/>
      <c r="I18" s="3"/>
      <c r="J18" s="3"/>
    </row>
    <row r="19" spans="1:10">
      <c r="A19" s="3"/>
      <c r="B19" s="15"/>
      <c r="C19" s="15"/>
      <c r="D19" s="15"/>
      <c r="E19" s="15"/>
      <c r="F19" s="15"/>
      <c r="G19" s="3"/>
      <c r="H19" s="15"/>
      <c r="I19" s="3"/>
      <c r="J19" s="3"/>
    </row>
    <row r="20" spans="1:10">
      <c r="A20" s="3"/>
      <c r="B20" s="15"/>
      <c r="C20" s="15"/>
      <c r="D20" s="15"/>
      <c r="E20" s="15"/>
      <c r="F20" s="15"/>
      <c r="G20" s="3"/>
      <c r="H20" s="15"/>
      <c r="I20" s="3"/>
      <c r="J20" s="3"/>
    </row>
    <row r="21" spans="1:10">
      <c r="A21" s="3"/>
      <c r="B21" s="15"/>
      <c r="C21" s="15"/>
      <c r="D21" s="15"/>
      <c r="E21" s="15"/>
      <c r="F21" s="15"/>
      <c r="G21" s="3"/>
      <c r="H21" s="15"/>
      <c r="I21" s="3"/>
      <c r="J21" s="3"/>
    </row>
    <row r="22" spans="1:10">
      <c r="A22" s="3"/>
      <c r="B22" s="15"/>
      <c r="C22" s="15"/>
      <c r="D22" s="15"/>
      <c r="E22" s="15"/>
      <c r="F22" s="15"/>
      <c r="G22" s="3"/>
      <c r="H22" s="15"/>
      <c r="I22" s="3"/>
      <c r="J22" s="3"/>
    </row>
    <row r="23" spans="1:10">
      <c r="A23" s="3"/>
      <c r="B23" s="15"/>
      <c r="C23" s="15"/>
      <c r="D23" s="15"/>
      <c r="E23" s="15"/>
      <c r="F23" s="15"/>
      <c r="G23" s="3"/>
      <c r="H23" s="15"/>
      <c r="I23" s="3"/>
      <c r="J23" s="3"/>
    </row>
    <row r="24" spans="1:10">
      <c r="A24" s="3"/>
      <c r="B24" s="15"/>
      <c r="C24" s="15"/>
      <c r="D24" s="15"/>
      <c r="E24" s="15"/>
      <c r="F24" s="15"/>
      <c r="G24" s="3"/>
      <c r="H24" s="15"/>
      <c r="I24" s="3"/>
      <c r="J24" s="3"/>
    </row>
  </sheetData>
  <mergeCells count="2">
    <mergeCell ref="A1:J1"/>
    <mergeCell ref="A2:J2"/>
  </mergeCells>
  <conditionalFormatting sqref="J5:J24">
    <cfRule type="containsText" dxfId="0" priority="1" operator="between" text="通过">
      <formula>NOT(ISERROR(SEARCH("通过",J5)))</formula>
    </cfRule>
    <cfRule type="containsText" dxfId="1" priority="2" operator="between" text="待">
      <formula>NOT(ISERROR(SEARCH("待",J5)))</formula>
    </cfRule>
    <cfRule type="containsText" dxfId="2" priority="3" operator="between" text="错误">
      <formula>NOT(ISERROR(SEARCH("错误",J5)))</formula>
    </cfRule>
  </conditionalFormatting>
  <dataValidations count="3">
    <dataValidation type="list" sqref="A5:A24">
      <formula1>"building.player_home,building.residential_house,building.lumber_cabin,building.fishing_hut,building.farm_field,building.market,building.warehouse,building.road,building.tree"</formula1>
    </dataValidation>
    <dataValidation type="list" sqref="G5:G24">
      <formula1>"是,否"</formula1>
    </dataValidation>
    <dataValidation type="list" sqref="I5:I24">
      <formula1>"金币,泥土,石头,原木,木板,树苗,蔬菜,鱼,黄金鱼"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showGridLines="0" workbookViewId="0">
      <selection activeCell="A1" sqref="A1:H1"/>
    </sheetView>
  </sheetViews>
  <sheetFormatPr defaultColWidth="9" defaultRowHeight="14" outlineLevelCol="7"/>
  <cols>
    <col min="1" max="1" width="28" customWidth="1"/>
    <col min="2" max="2" width="9" customWidth="1"/>
    <col min="3" max="3" width="17" customWidth="1"/>
    <col min="4" max="4" width="12" customWidth="1"/>
    <col min="5" max="5" width="13" customWidth="1"/>
    <col min="6" max="6" width="12" customWidth="1"/>
    <col min="7" max="7" width="13" customWidth="1"/>
    <col min="8" max="8" width="20" customWidth="1"/>
  </cols>
  <sheetData>
    <row r="1" ht="30" customHeight="1" spans="1:8">
      <c r="A1" s="1" t="s">
        <v>158</v>
      </c>
      <c r="B1" s="1"/>
      <c r="C1" s="1"/>
      <c r="D1" s="1"/>
      <c r="E1" s="1"/>
      <c r="F1" s="1"/>
      <c r="G1" s="1"/>
      <c r="H1" s="1"/>
    </row>
    <row r="2" ht="38" customHeight="1" spans="1:8">
      <c r="A2" s="2" t="s">
        <v>159</v>
      </c>
      <c r="B2" s="2"/>
      <c r="C2" s="2"/>
      <c r="D2" s="2"/>
      <c r="E2" s="2"/>
      <c r="F2" s="2"/>
      <c r="G2" s="2"/>
      <c r="H2" s="2"/>
    </row>
    <row r="3" spans="1:8">
      <c r="A3" s="3"/>
      <c r="B3" s="3"/>
      <c r="C3" s="3"/>
      <c r="D3" s="3"/>
      <c r="E3" s="3"/>
      <c r="F3" s="3"/>
      <c r="G3" s="3"/>
      <c r="H3" s="3"/>
    </row>
    <row r="4" ht="30" customHeight="1" spans="1:8">
      <c r="A4" s="4" t="s">
        <v>35</v>
      </c>
      <c r="B4" s="5" t="s">
        <v>112</v>
      </c>
      <c r="C4" s="5" t="s">
        <v>160</v>
      </c>
      <c r="D4" s="5" t="s">
        <v>161</v>
      </c>
      <c r="E4" s="5" t="s">
        <v>162</v>
      </c>
      <c r="F4" s="5" t="s">
        <v>163</v>
      </c>
      <c r="G4" s="5" t="s">
        <v>164</v>
      </c>
      <c r="H4" s="6" t="s">
        <v>131</v>
      </c>
    </row>
    <row r="5" spans="1:8">
      <c r="A5" s="7" t="s">
        <v>65</v>
      </c>
      <c r="B5" s="9">
        <v>1</v>
      </c>
      <c r="C5" s="9" t="s">
        <v>98</v>
      </c>
      <c r="D5" s="9">
        <v>2</v>
      </c>
      <c r="E5" s="9">
        <v>1</v>
      </c>
      <c r="F5" s="9">
        <v>3</v>
      </c>
      <c r="G5" s="25">
        <f t="shared" ref="G5:G13" si="0">E5/F5</f>
        <v>0.333333333333333</v>
      </c>
      <c r="H5" s="10" t="str">
        <f>IF(COUNTIFS(等级_岗位!$A$5:$A$24,A5,等级_岗位!$B$5:$B$24,B5)=0,"错误：缺少岗位","通过")</f>
        <v>通过</v>
      </c>
    </row>
    <row r="6" spans="1:8">
      <c r="A6" s="11" t="s">
        <v>65</v>
      </c>
      <c r="B6" s="13">
        <v>1</v>
      </c>
      <c r="C6" s="13" t="s">
        <v>98</v>
      </c>
      <c r="D6" s="13">
        <v>3</v>
      </c>
      <c r="E6" s="13">
        <v>2</v>
      </c>
      <c r="F6" s="13">
        <v>3</v>
      </c>
      <c r="G6" s="26">
        <f t="shared" si="0"/>
        <v>0.666666666666667</v>
      </c>
      <c r="H6" s="14" t="str">
        <f>IF(COUNTIFS(等级_岗位!$A$5:$A$24,A6,等级_岗位!$B$5:$B$24,B6)=0,"错误：缺少岗位","通过")</f>
        <v>通过</v>
      </c>
    </row>
    <row r="7" spans="1:8">
      <c r="A7" s="11" t="s">
        <v>65</v>
      </c>
      <c r="B7" s="13">
        <v>2</v>
      </c>
      <c r="C7" s="13" t="s">
        <v>98</v>
      </c>
      <c r="D7" s="13">
        <v>2</v>
      </c>
      <c r="E7" s="13">
        <v>1</v>
      </c>
      <c r="F7" s="13">
        <v>3</v>
      </c>
      <c r="G7" s="26">
        <f t="shared" si="0"/>
        <v>0.333333333333333</v>
      </c>
      <c r="H7" s="14" t="str">
        <f>IF(COUNTIFS(等级_岗位!$A$5:$A$24,A7,等级_岗位!$B$5:$B$24,B7)=0,"错误：缺少岗位","通过")</f>
        <v>通过</v>
      </c>
    </row>
    <row r="8" spans="1:8">
      <c r="A8" s="11" t="s">
        <v>65</v>
      </c>
      <c r="B8" s="13">
        <v>2</v>
      </c>
      <c r="C8" s="13" t="s">
        <v>98</v>
      </c>
      <c r="D8" s="13">
        <v>3</v>
      </c>
      <c r="E8" s="13">
        <v>2</v>
      </c>
      <c r="F8" s="13">
        <v>3</v>
      </c>
      <c r="G8" s="26">
        <f t="shared" si="0"/>
        <v>0.666666666666667</v>
      </c>
      <c r="H8" s="14" t="str">
        <f>IF(COUNTIFS(等级_岗位!$A$5:$A$24,A8,等级_岗位!$B$5:$B$24,B8)=0,"错误：缺少岗位","通过")</f>
        <v>通过</v>
      </c>
    </row>
    <row r="9" spans="1:8">
      <c r="A9" s="11" t="s">
        <v>65</v>
      </c>
      <c r="B9" s="13">
        <v>2</v>
      </c>
      <c r="C9" s="13" t="s">
        <v>98</v>
      </c>
      <c r="D9" s="13">
        <v>5</v>
      </c>
      <c r="E9" s="13">
        <v>4</v>
      </c>
      <c r="F9" s="13">
        <v>3</v>
      </c>
      <c r="G9" s="26">
        <f t="shared" si="0"/>
        <v>1.33333333333333</v>
      </c>
      <c r="H9" s="14" t="str">
        <f>IF(COUNTIFS(等级_岗位!$A$5:$A$24,A9,等级_岗位!$B$5:$B$24,B9)=0,"错误：缺少岗位","通过")</f>
        <v>通过</v>
      </c>
    </row>
    <row r="10" spans="1:8">
      <c r="A10" s="11" t="s">
        <v>69</v>
      </c>
      <c r="B10" s="13">
        <v>1</v>
      </c>
      <c r="C10" s="13" t="s">
        <v>165</v>
      </c>
      <c r="D10" s="13">
        <v>2</v>
      </c>
      <c r="E10" s="13">
        <v>1</v>
      </c>
      <c r="F10" s="13">
        <v>3</v>
      </c>
      <c r="G10" s="26">
        <f t="shared" si="0"/>
        <v>0.333333333333333</v>
      </c>
      <c r="H10" s="14" t="str">
        <f>IF(COUNTIFS(等级_岗位!$A$5:$A$24,A10,等级_岗位!$B$5:$B$24,B10)=0,"错误：缺少岗位","通过")</f>
        <v>通过</v>
      </c>
    </row>
    <row r="11" spans="1:8">
      <c r="A11" s="11" t="s">
        <v>69</v>
      </c>
      <c r="B11" s="13">
        <v>1</v>
      </c>
      <c r="C11" s="13" t="s">
        <v>165</v>
      </c>
      <c r="D11" s="13">
        <v>3</v>
      </c>
      <c r="E11" s="13">
        <v>2</v>
      </c>
      <c r="F11" s="13">
        <v>3</v>
      </c>
      <c r="G11" s="26">
        <f t="shared" si="0"/>
        <v>0.666666666666667</v>
      </c>
      <c r="H11" s="14" t="str">
        <f>IF(COUNTIFS(等级_岗位!$A$5:$A$24,A11,等级_岗位!$B$5:$B$24,B11)=0,"错误：缺少岗位","通过")</f>
        <v>通过</v>
      </c>
    </row>
    <row r="12" spans="1:8">
      <c r="A12" s="11" t="s">
        <v>69</v>
      </c>
      <c r="B12" s="13">
        <v>2</v>
      </c>
      <c r="C12" s="13" t="s">
        <v>165</v>
      </c>
      <c r="D12" s="13">
        <v>2</v>
      </c>
      <c r="E12" s="13">
        <v>1</v>
      </c>
      <c r="F12" s="13">
        <v>3</v>
      </c>
      <c r="G12" s="26">
        <f t="shared" si="0"/>
        <v>0.333333333333333</v>
      </c>
      <c r="H12" s="14" t="str">
        <f>IF(COUNTIFS(等级_岗位!$A$5:$A$24,A12,等级_岗位!$B$5:$B$24,B12)=0,"错误：缺少岗位","通过")</f>
        <v>通过</v>
      </c>
    </row>
    <row r="13" spans="1:8">
      <c r="A13" s="11" t="s">
        <v>69</v>
      </c>
      <c r="B13" s="13">
        <v>2</v>
      </c>
      <c r="C13" s="13" t="s">
        <v>165</v>
      </c>
      <c r="D13" s="13">
        <v>3</v>
      </c>
      <c r="E13" s="13">
        <v>2</v>
      </c>
      <c r="F13" s="13">
        <v>3</v>
      </c>
      <c r="G13" s="26">
        <f t="shared" si="0"/>
        <v>0.666666666666667</v>
      </c>
      <c r="H13" s="14" t="str">
        <f>IF(COUNTIFS(等级_岗位!$A$5:$A$24,A13,等级_岗位!$B$5:$B$24,B13)=0,"错误：缺少岗位","通过")</f>
        <v>通过</v>
      </c>
    </row>
    <row r="14" spans="1:8">
      <c r="A14" s="3"/>
      <c r="B14" s="15"/>
      <c r="C14" s="15"/>
      <c r="D14" s="15"/>
      <c r="E14" s="15"/>
      <c r="F14" s="15"/>
      <c r="G14" s="24"/>
      <c r="H14" s="3"/>
    </row>
    <row r="15" spans="1:8">
      <c r="A15" s="3"/>
      <c r="B15" s="15"/>
      <c r="C15" s="15"/>
      <c r="D15" s="15"/>
      <c r="E15" s="15"/>
      <c r="F15" s="15"/>
      <c r="G15" s="24"/>
      <c r="H15" s="3"/>
    </row>
    <row r="16" spans="1:8">
      <c r="A16" s="3"/>
      <c r="B16" s="15"/>
      <c r="C16" s="15"/>
      <c r="D16" s="15"/>
      <c r="E16" s="15"/>
      <c r="F16" s="15"/>
      <c r="G16" s="24"/>
      <c r="H16" s="3"/>
    </row>
    <row r="17" spans="1:8">
      <c r="A17" s="3"/>
      <c r="B17" s="15"/>
      <c r="C17" s="15"/>
      <c r="D17" s="15"/>
      <c r="E17" s="15"/>
      <c r="F17" s="15"/>
      <c r="G17" s="24"/>
      <c r="H17" s="3"/>
    </row>
    <row r="18" spans="1:8">
      <c r="A18" s="3"/>
      <c r="B18" s="15"/>
      <c r="C18" s="15"/>
      <c r="D18" s="15"/>
      <c r="E18" s="15"/>
      <c r="F18" s="15"/>
      <c r="G18" s="24"/>
      <c r="H18" s="3"/>
    </row>
    <row r="19" spans="1:8">
      <c r="A19" s="3"/>
      <c r="B19" s="15"/>
      <c r="C19" s="15"/>
      <c r="D19" s="15"/>
      <c r="E19" s="15"/>
      <c r="F19" s="15"/>
      <c r="G19" s="24"/>
      <c r="H19" s="3"/>
    </row>
    <row r="20" spans="1:8">
      <c r="A20" s="3"/>
      <c r="B20" s="15"/>
      <c r="C20" s="15"/>
      <c r="D20" s="15"/>
      <c r="E20" s="15"/>
      <c r="F20" s="15"/>
      <c r="G20" s="24"/>
      <c r="H20" s="3"/>
    </row>
    <row r="21" spans="1:8">
      <c r="A21" s="3"/>
      <c r="B21" s="15"/>
      <c r="C21" s="15"/>
      <c r="D21" s="15"/>
      <c r="E21" s="15"/>
      <c r="F21" s="15"/>
      <c r="G21" s="24"/>
      <c r="H21" s="3"/>
    </row>
    <row r="22" spans="1:8">
      <c r="A22" s="3"/>
      <c r="B22" s="15"/>
      <c r="C22" s="15"/>
      <c r="D22" s="15"/>
      <c r="E22" s="15"/>
      <c r="F22" s="15"/>
      <c r="G22" s="24"/>
      <c r="H22" s="3"/>
    </row>
    <row r="23" spans="1:8">
      <c r="A23" s="3"/>
      <c r="B23" s="15"/>
      <c r="C23" s="15"/>
      <c r="D23" s="15"/>
      <c r="E23" s="15"/>
      <c r="F23" s="15"/>
      <c r="G23" s="24"/>
      <c r="H23" s="3"/>
    </row>
    <row r="24" spans="1:8">
      <c r="A24" s="3"/>
      <c r="B24" s="15"/>
      <c r="C24" s="15"/>
      <c r="D24" s="15"/>
      <c r="E24" s="15"/>
      <c r="F24" s="15"/>
      <c r="G24" s="24"/>
      <c r="H24" s="3"/>
    </row>
  </sheetData>
  <mergeCells count="2">
    <mergeCell ref="A1:H1"/>
    <mergeCell ref="A2:H2"/>
  </mergeCells>
  <conditionalFormatting sqref="H5:H24">
    <cfRule type="containsText" dxfId="0" priority="1" operator="between" text="通过">
      <formula>NOT(ISERROR(SEARCH("通过",H5)))</formula>
    </cfRule>
    <cfRule type="containsText" dxfId="1" priority="2" operator="between" text="待">
      <formula>NOT(ISERROR(SEARCH("待",H5)))</formula>
    </cfRule>
    <cfRule type="containsText" dxfId="2" priority="3" operator="between" text="错误">
      <formula>NOT(ISERROR(SEARCH("错误",H5)))</formula>
    </cfRule>
  </conditionalFormatting>
  <dataValidations count="2">
    <dataValidation type="list" sqref="A5:A24">
      <formula1>"building.player_home,building.residential_house,building.lumber_cabin,building.fishing_hut,building.farm_field,building.market,building.warehouse,building.road,building.tree"</formula1>
    </dataValidation>
    <dataValidation type="list" sqref="C5:C24">
      <formula1>"金币,泥土,石头,原木,木板,树苗,蔬菜,鱼,黄金鱼"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showGridLines="0" workbookViewId="0">
      <selection activeCell="A1" sqref="A1:H1"/>
    </sheetView>
  </sheetViews>
  <sheetFormatPr defaultColWidth="9" defaultRowHeight="14" outlineLevelCol="7"/>
  <cols>
    <col min="1" max="1" width="28" customWidth="1"/>
    <col min="2" max="2" width="9" customWidth="1"/>
    <col min="3" max="3" width="10" customWidth="1"/>
    <col min="4" max="4" width="16" customWidth="1"/>
    <col min="5" max="6" width="12" customWidth="1"/>
    <col min="7" max="7" width="10" customWidth="1"/>
    <col min="8" max="8" width="18" customWidth="1"/>
  </cols>
  <sheetData>
    <row r="1" ht="30" customHeight="1" spans="1:8">
      <c r="A1" s="1" t="s">
        <v>166</v>
      </c>
      <c r="B1" s="1"/>
      <c r="C1" s="1"/>
      <c r="D1" s="1"/>
      <c r="E1" s="1"/>
      <c r="F1" s="1"/>
      <c r="G1" s="1"/>
      <c r="H1" s="1"/>
    </row>
    <row r="2" ht="38" customHeight="1" spans="1:8">
      <c r="A2" s="2" t="s">
        <v>167</v>
      </c>
      <c r="B2" s="2"/>
      <c r="C2" s="2"/>
      <c r="D2" s="2"/>
      <c r="E2" s="2"/>
      <c r="F2" s="2"/>
      <c r="G2" s="2"/>
      <c r="H2" s="2"/>
    </row>
    <row r="3" spans="1:8">
      <c r="A3" s="3"/>
      <c r="B3" s="3"/>
      <c r="C3" s="3"/>
      <c r="D3" s="3"/>
      <c r="E3" s="3"/>
      <c r="F3" s="3"/>
      <c r="G3" s="3"/>
      <c r="H3" s="3"/>
    </row>
    <row r="4" ht="30" customHeight="1" spans="1:8">
      <c r="A4" s="4" t="s">
        <v>35</v>
      </c>
      <c r="B4" s="5" t="s">
        <v>112</v>
      </c>
      <c r="C4" s="5" t="s">
        <v>168</v>
      </c>
      <c r="D4" s="5" t="s">
        <v>16</v>
      </c>
      <c r="E4" s="5" t="s">
        <v>169</v>
      </c>
      <c r="F4" s="5" t="s">
        <v>170</v>
      </c>
      <c r="G4" s="5" t="s">
        <v>94</v>
      </c>
      <c r="H4" s="6" t="s">
        <v>131</v>
      </c>
    </row>
    <row r="5" spans="1:8">
      <c r="A5" s="7" t="s">
        <v>69</v>
      </c>
      <c r="B5" s="9">
        <v>1</v>
      </c>
      <c r="C5" s="7" t="s">
        <v>57</v>
      </c>
      <c r="D5" s="7" t="s">
        <v>171</v>
      </c>
      <c r="E5" s="9">
        <v>3</v>
      </c>
      <c r="F5" s="22">
        <v>1</v>
      </c>
      <c r="G5" s="9">
        <v>1</v>
      </c>
      <c r="H5" s="10" t="str">
        <f>IF(OR(F5&lt;0,F5&gt;100),"错误：概率范围","通过")</f>
        <v>通过</v>
      </c>
    </row>
    <row r="6" spans="1:8">
      <c r="A6" s="11" t="s">
        <v>69</v>
      </c>
      <c r="B6" s="13">
        <v>2</v>
      </c>
      <c r="C6" s="11" t="s">
        <v>57</v>
      </c>
      <c r="D6" s="11" t="s">
        <v>171</v>
      </c>
      <c r="E6" s="13">
        <v>3</v>
      </c>
      <c r="F6" s="23">
        <v>1</v>
      </c>
      <c r="G6" s="13">
        <v>1</v>
      </c>
      <c r="H6" s="14" t="str">
        <f>IF(OR(F6&lt;0,F6&gt;100),"错误：概率范围","通过")</f>
        <v>通过</v>
      </c>
    </row>
    <row r="7" spans="1:8">
      <c r="A7" s="3"/>
      <c r="B7" s="15"/>
      <c r="C7" s="3"/>
      <c r="D7" s="3"/>
      <c r="E7" s="15"/>
      <c r="F7" s="24"/>
      <c r="G7" s="15"/>
      <c r="H7" s="3"/>
    </row>
    <row r="8" spans="1:8">
      <c r="A8" s="3"/>
      <c r="B8" s="15"/>
      <c r="C8" s="3"/>
      <c r="D8" s="3"/>
      <c r="E8" s="15"/>
      <c r="F8" s="24"/>
      <c r="G8" s="15"/>
      <c r="H8" s="3"/>
    </row>
    <row r="9" spans="1:8">
      <c r="A9" s="3"/>
      <c r="B9" s="15"/>
      <c r="C9" s="3"/>
      <c r="D9" s="3"/>
      <c r="E9" s="15"/>
      <c r="F9" s="24"/>
      <c r="G9" s="15"/>
      <c r="H9" s="3"/>
    </row>
    <row r="10" spans="1:8">
      <c r="A10" s="3"/>
      <c r="B10" s="15"/>
      <c r="C10" s="3"/>
      <c r="D10" s="3"/>
      <c r="E10" s="15"/>
      <c r="F10" s="24"/>
      <c r="G10" s="15"/>
      <c r="H10" s="3"/>
    </row>
    <row r="11" spans="1:8">
      <c r="A11" s="3"/>
      <c r="B11" s="15"/>
      <c r="C11" s="3"/>
      <c r="D11" s="3"/>
      <c r="E11" s="15"/>
      <c r="F11" s="24"/>
      <c r="G11" s="15"/>
      <c r="H11" s="3"/>
    </row>
    <row r="12" spans="1:8">
      <c r="A12" s="3"/>
      <c r="B12" s="15"/>
      <c r="C12" s="3"/>
      <c r="D12" s="3"/>
      <c r="E12" s="15"/>
      <c r="F12" s="24"/>
      <c r="G12" s="15"/>
      <c r="H12" s="3"/>
    </row>
    <row r="13" spans="1:8">
      <c r="A13" s="3"/>
      <c r="B13" s="15"/>
      <c r="C13" s="3"/>
      <c r="D13" s="3"/>
      <c r="E13" s="15"/>
      <c r="F13" s="24"/>
      <c r="G13" s="15"/>
      <c r="H13" s="3"/>
    </row>
    <row r="14" spans="1:8">
      <c r="A14" s="3"/>
      <c r="B14" s="15"/>
      <c r="C14" s="3"/>
      <c r="D14" s="3"/>
      <c r="E14" s="15"/>
      <c r="F14" s="24"/>
      <c r="G14" s="15"/>
      <c r="H14" s="3"/>
    </row>
    <row r="15" spans="1:8">
      <c r="A15" s="3"/>
      <c r="B15" s="15"/>
      <c r="C15" s="3"/>
      <c r="D15" s="3"/>
      <c r="E15" s="15"/>
      <c r="F15" s="24"/>
      <c r="G15" s="15"/>
      <c r="H15" s="3"/>
    </row>
    <row r="16" spans="1:8">
      <c r="A16" s="3"/>
      <c r="B16" s="15"/>
      <c r="C16" s="3"/>
      <c r="D16" s="3"/>
      <c r="E16" s="15"/>
      <c r="F16" s="24"/>
      <c r="G16" s="15"/>
      <c r="H16" s="3"/>
    </row>
    <row r="17" spans="1:8">
      <c r="A17" s="3"/>
      <c r="B17" s="15"/>
      <c r="C17" s="3"/>
      <c r="D17" s="3"/>
      <c r="E17" s="15"/>
      <c r="F17" s="24"/>
      <c r="G17" s="15"/>
      <c r="H17" s="3"/>
    </row>
    <row r="18" spans="1:8">
      <c r="A18" s="3"/>
      <c r="B18" s="15"/>
      <c r="C18" s="3"/>
      <c r="D18" s="3"/>
      <c r="E18" s="15"/>
      <c r="F18" s="24"/>
      <c r="G18" s="15"/>
      <c r="H18" s="3"/>
    </row>
    <row r="19" spans="1:8">
      <c r="A19" s="3"/>
      <c r="B19" s="15"/>
      <c r="C19" s="3"/>
      <c r="D19" s="3"/>
      <c r="E19" s="15"/>
      <c r="F19" s="24"/>
      <c r="G19" s="15"/>
      <c r="H19" s="3"/>
    </row>
    <row r="20" spans="1:8">
      <c r="A20" s="3"/>
      <c r="B20" s="15"/>
      <c r="C20" s="3"/>
      <c r="D20" s="3"/>
      <c r="E20" s="15"/>
      <c r="F20" s="24"/>
      <c r="G20" s="15"/>
      <c r="H20" s="3"/>
    </row>
    <row r="21" spans="1:8">
      <c r="A21" s="3"/>
      <c r="B21" s="15"/>
      <c r="C21" s="3"/>
      <c r="D21" s="3"/>
      <c r="E21" s="15"/>
      <c r="F21" s="24"/>
      <c r="G21" s="15"/>
      <c r="H21" s="3"/>
    </row>
    <row r="22" spans="1:8">
      <c r="A22" s="3"/>
      <c r="B22" s="15"/>
      <c r="C22" s="3"/>
      <c r="D22" s="3"/>
      <c r="E22" s="15"/>
      <c r="F22" s="24"/>
      <c r="G22" s="15"/>
      <c r="H22" s="3"/>
    </row>
    <row r="23" spans="1:8">
      <c r="A23" s="3"/>
      <c r="B23" s="15"/>
      <c r="C23" s="3"/>
      <c r="D23" s="3"/>
      <c r="E23" s="15"/>
      <c r="F23" s="24"/>
      <c r="G23" s="15"/>
      <c r="H23" s="3"/>
    </row>
    <row r="24" spans="1:8">
      <c r="A24" s="3"/>
      <c r="B24" s="15"/>
      <c r="C24" s="3"/>
      <c r="D24" s="3"/>
      <c r="E24" s="15"/>
      <c r="F24" s="24"/>
      <c r="G24" s="15"/>
      <c r="H24" s="3"/>
    </row>
  </sheetData>
  <mergeCells count="2">
    <mergeCell ref="A1:H1"/>
    <mergeCell ref="A2:H2"/>
  </mergeCells>
  <conditionalFormatting sqref="H5:H24">
    <cfRule type="containsText" dxfId="0" priority="1" operator="between" text="通过">
      <formula>NOT(ISERROR(SEARCH("通过",H5)))</formula>
    </cfRule>
    <cfRule type="containsText" dxfId="1" priority="2" operator="between" text="待">
      <formula>NOT(ISERROR(SEARCH("待",H5)))</formula>
    </cfRule>
    <cfRule type="containsText" dxfId="2" priority="3" operator="between" text="错误">
      <formula>NOT(ISERROR(SEARCH("错误",H5)))</formula>
    </cfRule>
  </conditionalFormatting>
  <dataValidations count="3">
    <dataValidation type="list" sqref="A5:A24">
      <formula1>"building.player_home,building.residential_house,building.lumber_cabin,building.fishing_hut,building.farm_field,building.market,building.warehouse,building.road,building.tree"</formula1>
    </dataValidation>
    <dataValidation type="list" sqref="C5:C24">
      <formula1>"是,否"</formula1>
    </dataValidation>
    <dataValidation type="list" sqref="D5:D24">
      <formula1>"金币,泥土,石头,原木,木板,树苗,蔬菜,鱼,黄金鱼"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showGridLines="0" workbookViewId="0">
      <selection activeCell="A1" sqref="A1:M1"/>
    </sheetView>
  </sheetViews>
  <sheetFormatPr defaultColWidth="9" defaultRowHeight="14"/>
  <cols>
    <col min="1" max="1" width="28" customWidth="1"/>
    <col min="2" max="2" width="9" customWidth="1"/>
    <col min="3" max="3" width="15" customWidth="1"/>
    <col min="4" max="4" width="13" customWidth="1"/>
    <col min="5" max="5" width="20" customWidth="1"/>
    <col min="6" max="6" width="13" customWidth="1"/>
    <col min="7" max="7" width="15" customWidth="1"/>
    <col min="8" max="8" width="12" customWidth="1"/>
    <col min="9" max="10" width="15" customWidth="1"/>
    <col min="11" max="11" width="13" customWidth="1"/>
    <col min="12" max="13" width="22" customWidth="1"/>
  </cols>
  <sheetData>
    <row r="1" ht="30" customHeight="1" spans="1:13">
      <c r="A1" s="1" t="s">
        <v>172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38" customHeight="1" spans="1:13">
      <c r="A2" s="2" t="s">
        <v>173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ht="30" customHeight="1" spans="1:13">
      <c r="A4" s="4" t="s">
        <v>35</v>
      </c>
      <c r="B4" s="5" t="s">
        <v>112</v>
      </c>
      <c r="C4" s="5" t="s">
        <v>174</v>
      </c>
      <c r="D4" s="5" t="s">
        <v>175</v>
      </c>
      <c r="E4" s="5" t="s">
        <v>176</v>
      </c>
      <c r="F4" s="5" t="s">
        <v>177</v>
      </c>
      <c r="G4" s="5" t="s">
        <v>178</v>
      </c>
      <c r="H4" s="5" t="s">
        <v>179</v>
      </c>
      <c r="I4" s="5" t="s">
        <v>180</v>
      </c>
      <c r="J4" s="5" t="s">
        <v>181</v>
      </c>
      <c r="K4" s="5" t="s">
        <v>182</v>
      </c>
      <c r="L4" s="5" t="s">
        <v>183</v>
      </c>
      <c r="M4" s="6" t="s">
        <v>131</v>
      </c>
    </row>
    <row r="5" spans="1:13">
      <c r="A5" s="7" t="s">
        <v>80</v>
      </c>
      <c r="B5" s="9">
        <v>1</v>
      </c>
      <c r="C5" s="9">
        <v>2</v>
      </c>
      <c r="D5" s="9">
        <v>1</v>
      </c>
      <c r="E5" s="9" t="s">
        <v>95</v>
      </c>
      <c r="F5" s="9">
        <v>1</v>
      </c>
      <c r="G5" s="9">
        <v>2</v>
      </c>
      <c r="H5" s="9">
        <v>1</v>
      </c>
      <c r="I5" s="9">
        <v>30</v>
      </c>
      <c r="J5" s="9">
        <v>0</v>
      </c>
      <c r="K5" s="9">
        <v>0</v>
      </c>
      <c r="L5" s="9">
        <v>10</v>
      </c>
      <c r="M5" s="10" t="str">
        <f>IF(COUNTIFS(等级_岗位!$A$5:$A$24,A5,等级_岗位!$B$5:$B$24,B5)=0,"错误：缺少岗位",IF(MAX(C5,G5,J5)&gt;SUMIFS(等级_岗位!$C$5:$C$24,等级_岗位!$A$5:$A$24,A5,等级_岗位!$B$5:$B$24,B5),"错误：阈值超上限","通过"))</f>
        <v>通过</v>
      </c>
    </row>
    <row r="6" spans="1:13">
      <c r="A6" s="11" t="s">
        <v>80</v>
      </c>
      <c r="B6" s="13">
        <v>2</v>
      </c>
      <c r="C6" s="13">
        <v>3</v>
      </c>
      <c r="D6" s="13">
        <v>2</v>
      </c>
      <c r="E6" s="13" t="s">
        <v>95</v>
      </c>
      <c r="F6" s="13">
        <v>2</v>
      </c>
      <c r="G6" s="13">
        <v>2</v>
      </c>
      <c r="H6" s="13">
        <v>1</v>
      </c>
      <c r="I6" s="13">
        <v>50</v>
      </c>
      <c r="J6" s="13">
        <v>0</v>
      </c>
      <c r="K6" s="13">
        <v>0</v>
      </c>
      <c r="L6" s="13">
        <v>10</v>
      </c>
      <c r="M6" s="14" t="str">
        <f>IF(COUNTIFS(等级_岗位!$A$5:$A$24,A6,等级_岗位!$B$5:$B$24,B6)=0,"错误：缺少岗位",IF(MAX(C6,G6,J6)&gt;SUMIFS(等级_岗位!$C$5:$C$24,等级_岗位!$A$5:$A$24,A6,等级_岗位!$B$5:$B$24,B6),"错误：阈值超上限","通过"))</f>
        <v>通过</v>
      </c>
    </row>
    <row r="7" spans="1:13">
      <c r="A7" s="11" t="s">
        <v>80</v>
      </c>
      <c r="B7" s="13">
        <v>3</v>
      </c>
      <c r="C7" s="13">
        <v>4</v>
      </c>
      <c r="D7" s="13">
        <v>3</v>
      </c>
      <c r="E7" s="13" t="s">
        <v>95</v>
      </c>
      <c r="F7" s="13">
        <v>3</v>
      </c>
      <c r="G7" s="13">
        <v>0</v>
      </c>
      <c r="H7" s="13">
        <v>0</v>
      </c>
      <c r="I7" s="13">
        <v>0</v>
      </c>
      <c r="J7" s="13">
        <v>5</v>
      </c>
      <c r="K7" s="13">
        <v>1</v>
      </c>
      <c r="L7" s="13">
        <v>10</v>
      </c>
      <c r="M7" s="14" t="str">
        <f>IF(COUNTIFS(等级_岗位!$A$5:$A$24,A7,等级_岗位!$B$5:$B$24,B7)=0,"错误：缺少岗位",IF(MAX(C7,G7,J7)&gt;SUMIFS(等级_岗位!$C$5:$C$24,等级_岗位!$A$5:$A$24,A7,等级_岗位!$B$5:$B$24,B7),"错误：阈值超上限","通过"))</f>
        <v>通过</v>
      </c>
    </row>
    <row r="8" spans="1:13">
      <c r="A8" s="3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3"/>
    </row>
    <row r="9" spans="1:13">
      <c r="A9" s="3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3"/>
    </row>
    <row r="10" spans="1:13">
      <c r="A10" s="3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3"/>
    </row>
    <row r="11" spans="1:13">
      <c r="A11" s="3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3"/>
    </row>
    <row r="12" spans="1:13">
      <c r="A12" s="3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3"/>
    </row>
    <row r="13" spans="1:13">
      <c r="A13" s="3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3"/>
    </row>
    <row r="14" spans="1:13">
      <c r="A14" s="3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3"/>
    </row>
    <row r="15" spans="1:13">
      <c r="A15" s="3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3"/>
    </row>
    <row r="16" spans="1:13">
      <c r="A16" s="3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3"/>
    </row>
    <row r="17" spans="1:13">
      <c r="A17" s="3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3"/>
    </row>
    <row r="18" spans="1:13">
      <c r="A18" s="3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3"/>
    </row>
    <row r="19" spans="1:13">
      <c r="A19" s="3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3"/>
    </row>
    <row r="20" spans="1:13">
      <c r="A20" s="3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3"/>
    </row>
    <row r="21" spans="1:13">
      <c r="A21" s="3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3"/>
    </row>
    <row r="22" spans="1:13">
      <c r="A22" s="3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3"/>
    </row>
    <row r="23" spans="1:13">
      <c r="A23" s="3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3"/>
    </row>
    <row r="24" spans="1:13">
      <c r="A24" s="3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3"/>
    </row>
  </sheetData>
  <mergeCells count="2">
    <mergeCell ref="A1:M1"/>
    <mergeCell ref="A2:M2"/>
  </mergeCells>
  <conditionalFormatting sqref="M5:M24">
    <cfRule type="containsText" dxfId="0" priority="1" operator="between" text="通过">
      <formula>NOT(ISERROR(SEARCH("通过",M5)))</formula>
    </cfRule>
    <cfRule type="containsText" dxfId="1" priority="2" operator="between" text="待">
      <formula>NOT(ISERROR(SEARCH("待",M5)))</formula>
    </cfRule>
    <cfRule type="containsText" dxfId="2" priority="3" operator="between" text="错误">
      <formula>NOT(ISERROR(SEARCH("错误",M5)))</formula>
    </cfRule>
  </conditionalFormatting>
  <dataValidations count="2">
    <dataValidation type="list" sqref="A5:A24">
      <formula1>"building.player_home,building.residential_house,building.lumber_cabin,building.fishing_hut,building.farm_field,building.market,building.warehouse,building.road,building.tree"</formula1>
    </dataValidation>
    <dataValidation type="list" sqref="E5:E24">
      <formula1>"金币,泥土,石头,原木,木板,树苗,蔬菜,鱼,黄金鱼"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showGridLines="0" workbookViewId="0">
      <selection activeCell="A1" sqref="A1:E1"/>
    </sheetView>
  </sheetViews>
  <sheetFormatPr defaultColWidth="9" defaultRowHeight="14" outlineLevelCol="4"/>
  <cols>
    <col min="1" max="1" width="28" customWidth="1"/>
    <col min="2" max="3" width="16" customWidth="1"/>
    <col min="4" max="4" width="14" customWidth="1"/>
    <col min="5" max="5" width="18" customWidth="1"/>
  </cols>
  <sheetData>
    <row r="1" ht="30" customHeight="1" spans="1:5">
      <c r="A1" s="1" t="s">
        <v>184</v>
      </c>
      <c r="B1" s="1"/>
      <c r="C1" s="1"/>
      <c r="D1" s="1"/>
      <c r="E1" s="1"/>
    </row>
    <row r="2" ht="38" customHeight="1" spans="1:5">
      <c r="A2" s="2" t="s">
        <v>185</v>
      </c>
      <c r="B2" s="2"/>
      <c r="C2" s="2"/>
      <c r="D2" s="2"/>
      <c r="E2" s="2"/>
    </row>
    <row r="3" spans="1:5">
      <c r="A3" s="3"/>
      <c r="B3" s="3"/>
      <c r="C3" s="3"/>
      <c r="D3" s="3"/>
      <c r="E3" s="3"/>
    </row>
    <row r="4" ht="30" customHeight="1" spans="1:5">
      <c r="A4" s="4" t="s">
        <v>35</v>
      </c>
      <c r="B4" s="5" t="s">
        <v>157</v>
      </c>
      <c r="C4" s="5" t="s">
        <v>186</v>
      </c>
      <c r="D4" s="5" t="s">
        <v>187</v>
      </c>
      <c r="E4" s="6" t="s">
        <v>131</v>
      </c>
    </row>
    <row r="5" spans="1:5">
      <c r="A5" s="7" t="s">
        <v>76</v>
      </c>
      <c r="B5" s="7" t="s">
        <v>95</v>
      </c>
      <c r="C5" s="19">
        <v>0.1</v>
      </c>
      <c r="D5" s="20">
        <f>C5</f>
        <v>0.1</v>
      </c>
      <c r="E5" s="10" t="str">
        <f>IF(C5&lt;0,"错误：比例","通过")</f>
        <v>通过</v>
      </c>
    </row>
    <row r="6" spans="1:5">
      <c r="A6" s="3"/>
      <c r="B6" s="3"/>
      <c r="C6" s="21"/>
      <c r="D6" s="3"/>
      <c r="E6" s="3"/>
    </row>
    <row r="7" spans="1:5">
      <c r="A7" s="3"/>
      <c r="B7" s="3"/>
      <c r="C7" s="21"/>
      <c r="D7" s="3"/>
      <c r="E7" s="3"/>
    </row>
    <row r="8" spans="1:5">
      <c r="A8" s="3"/>
      <c r="B8" s="3"/>
      <c r="C8" s="21"/>
      <c r="D8" s="3"/>
      <c r="E8" s="3"/>
    </row>
    <row r="9" spans="1:5">
      <c r="A9" s="3"/>
      <c r="B9" s="3"/>
      <c r="C9" s="21"/>
      <c r="D9" s="3"/>
      <c r="E9" s="3"/>
    </row>
    <row r="10" spans="1:5">
      <c r="A10" s="3"/>
      <c r="B10" s="3"/>
      <c r="C10" s="21"/>
      <c r="D10" s="3"/>
      <c r="E10" s="3"/>
    </row>
    <row r="11" spans="1:5">
      <c r="A11" s="3"/>
      <c r="B11" s="3"/>
      <c r="C11" s="21"/>
      <c r="D11" s="3"/>
      <c r="E11" s="3"/>
    </row>
    <row r="12" spans="1:5">
      <c r="A12" s="3"/>
      <c r="B12" s="3"/>
      <c r="C12" s="21"/>
      <c r="D12" s="3"/>
      <c r="E12" s="3"/>
    </row>
    <row r="13" spans="1:5">
      <c r="A13" s="3"/>
      <c r="B13" s="3"/>
      <c r="C13" s="21"/>
      <c r="D13" s="3"/>
      <c r="E13" s="3"/>
    </row>
    <row r="14" spans="1:5">
      <c r="A14" s="3"/>
      <c r="B14" s="3"/>
      <c r="C14" s="21"/>
      <c r="D14" s="3"/>
      <c r="E14" s="3"/>
    </row>
    <row r="15" spans="1:5">
      <c r="A15" s="3"/>
      <c r="B15" s="3"/>
      <c r="C15" s="21"/>
      <c r="D15" s="3"/>
      <c r="E15" s="3"/>
    </row>
    <row r="16" spans="1:5">
      <c r="A16" s="3"/>
      <c r="B16" s="3"/>
      <c r="C16" s="21"/>
      <c r="D16" s="3"/>
      <c r="E16" s="3"/>
    </row>
    <row r="17" spans="1:5">
      <c r="A17" s="3"/>
      <c r="B17" s="3"/>
      <c r="C17" s="21"/>
      <c r="D17" s="3"/>
      <c r="E17" s="3"/>
    </row>
    <row r="18" spans="1:5">
      <c r="A18" s="3"/>
      <c r="B18" s="3"/>
      <c r="C18" s="21"/>
      <c r="D18" s="3"/>
      <c r="E18" s="3"/>
    </row>
    <row r="19" spans="1:5">
      <c r="A19" s="3"/>
      <c r="B19" s="3"/>
      <c r="C19" s="21"/>
      <c r="D19" s="3"/>
      <c r="E19" s="3"/>
    </row>
    <row r="20" spans="1:5">
      <c r="A20" s="3"/>
      <c r="B20" s="3"/>
      <c r="C20" s="21"/>
      <c r="D20" s="3"/>
      <c r="E20" s="3"/>
    </row>
    <row r="21" spans="1:5">
      <c r="A21" s="3"/>
      <c r="B21" s="3"/>
      <c r="C21" s="21"/>
      <c r="D21" s="3"/>
      <c r="E21" s="3"/>
    </row>
    <row r="22" spans="1:5">
      <c r="A22" s="3"/>
      <c r="B22" s="3"/>
      <c r="C22" s="21"/>
      <c r="D22" s="3"/>
      <c r="E22" s="3"/>
    </row>
    <row r="23" spans="1:5">
      <c r="A23" s="3"/>
      <c r="B23" s="3"/>
      <c r="C23" s="21"/>
      <c r="D23" s="3"/>
      <c r="E23" s="3"/>
    </row>
    <row r="24" spans="1:5">
      <c r="A24" s="3"/>
      <c r="B24" s="3"/>
      <c r="C24" s="21"/>
      <c r="D24" s="3"/>
      <c r="E24" s="3"/>
    </row>
  </sheetData>
  <mergeCells count="2">
    <mergeCell ref="A1:E1"/>
    <mergeCell ref="A2:E2"/>
  </mergeCells>
  <conditionalFormatting sqref="E5:E24">
    <cfRule type="containsText" dxfId="0" priority="1" operator="between" text="通过">
      <formula>NOT(ISERROR(SEARCH("通过",E5)))</formula>
    </cfRule>
    <cfRule type="containsText" dxfId="1" priority="2" operator="between" text="待">
      <formula>NOT(ISERROR(SEARCH("待",E5)))</formula>
    </cfRule>
    <cfRule type="containsText" dxfId="2" priority="3" operator="between" text="错误">
      <formula>NOT(ISERROR(SEARCH("错误",E5)))</formula>
    </cfRule>
  </conditionalFormatting>
  <dataValidations count="2">
    <dataValidation type="list" sqref="A5:A24">
      <formula1>"building.player_home,building.residential_house,building.lumber_cabin,building.fishing_hut,building.farm_field,building.market,building.warehouse,building.road,building.tree"</formula1>
    </dataValidation>
    <dataValidation type="list" sqref="B5:B24">
      <formula1>"金币,泥土,石头,原木,木板,树苗,蔬菜,鱼,黄金鱼"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showGridLines="0" workbookViewId="0">
      <selection activeCell="A1" sqref="A1:K1"/>
    </sheetView>
  </sheetViews>
  <sheetFormatPr defaultColWidth="9" defaultRowHeight="14"/>
  <cols>
    <col min="1" max="1" width="28" customWidth="1"/>
    <col min="2" max="4" width="11" customWidth="1"/>
    <col min="5" max="5" width="15" customWidth="1"/>
    <col min="6" max="6" width="11" customWidth="1"/>
    <col min="7" max="7" width="17" customWidth="1"/>
    <col min="8" max="8" width="11" customWidth="1"/>
    <col min="9" max="9" width="13" customWidth="1"/>
    <col min="10" max="10" width="16" customWidth="1"/>
    <col min="11" max="11" width="18" customWidth="1"/>
  </cols>
  <sheetData>
    <row r="1" ht="30" customHeight="1" spans="1:11">
      <c r="A1" s="1" t="s">
        <v>188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8" customHeight="1" spans="1:11">
      <c r="A2" s="2" t="s">
        <v>189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ht="30" customHeight="1" spans="1:11">
      <c r="A4" s="4" t="s">
        <v>35</v>
      </c>
      <c r="B4" s="5" t="s">
        <v>190</v>
      </c>
      <c r="C4" s="5" t="s">
        <v>191</v>
      </c>
      <c r="D4" s="5" t="s">
        <v>192</v>
      </c>
      <c r="E4" s="5" t="s">
        <v>193</v>
      </c>
      <c r="F4" s="5" t="s">
        <v>194</v>
      </c>
      <c r="G4" s="5" t="s">
        <v>195</v>
      </c>
      <c r="H4" s="5" t="s">
        <v>196</v>
      </c>
      <c r="I4" s="5" t="s">
        <v>197</v>
      </c>
      <c r="J4" s="5" t="s">
        <v>198</v>
      </c>
      <c r="K4" s="6" t="s">
        <v>131</v>
      </c>
    </row>
    <row r="5" spans="1:11">
      <c r="A5" s="7" t="s">
        <v>88</v>
      </c>
      <c r="B5" s="9">
        <v>3</v>
      </c>
      <c r="C5" s="9">
        <v>6</v>
      </c>
      <c r="D5" s="9">
        <v>1</v>
      </c>
      <c r="E5" s="9" t="s">
        <v>98</v>
      </c>
      <c r="F5" s="9">
        <v>2</v>
      </c>
      <c r="G5" s="9" t="s">
        <v>100</v>
      </c>
      <c r="H5" s="9">
        <v>3</v>
      </c>
      <c r="I5" s="17">
        <f>(B5+C5)/2</f>
        <v>4.5</v>
      </c>
      <c r="J5" s="8">
        <f>ROUNDUP(I5/D5,0)</f>
        <v>5</v>
      </c>
      <c r="K5" s="10" t="str">
        <f>IF(C5&lt;B5,"错误：生命范围","通过")</f>
        <v>通过</v>
      </c>
    </row>
    <row r="6" spans="1:11">
      <c r="A6" s="3"/>
      <c r="B6" s="15"/>
      <c r="C6" s="15"/>
      <c r="D6" s="15"/>
      <c r="E6" s="15"/>
      <c r="F6" s="15"/>
      <c r="G6" s="15"/>
      <c r="H6" s="15"/>
      <c r="I6" s="18"/>
      <c r="J6" s="15"/>
      <c r="K6" s="3"/>
    </row>
    <row r="7" spans="1:11">
      <c r="A7" s="3"/>
      <c r="B7" s="15"/>
      <c r="C7" s="15"/>
      <c r="D7" s="15"/>
      <c r="E7" s="15"/>
      <c r="F7" s="15"/>
      <c r="G7" s="15"/>
      <c r="H7" s="15"/>
      <c r="I7" s="18"/>
      <c r="J7" s="15"/>
      <c r="K7" s="3"/>
    </row>
    <row r="8" spans="1:11">
      <c r="A8" s="3"/>
      <c r="B8" s="15"/>
      <c r="C8" s="15"/>
      <c r="D8" s="15"/>
      <c r="E8" s="15"/>
      <c r="F8" s="15"/>
      <c r="G8" s="15"/>
      <c r="H8" s="15"/>
      <c r="I8" s="18"/>
      <c r="J8" s="15"/>
      <c r="K8" s="3"/>
    </row>
    <row r="9" spans="1:11">
      <c r="A9" s="3"/>
      <c r="B9" s="15"/>
      <c r="C9" s="15"/>
      <c r="D9" s="15"/>
      <c r="E9" s="15"/>
      <c r="F9" s="15"/>
      <c r="G9" s="15"/>
      <c r="H9" s="15"/>
      <c r="I9" s="18"/>
      <c r="J9" s="15"/>
      <c r="K9" s="3"/>
    </row>
    <row r="10" spans="1:11">
      <c r="A10" s="3"/>
      <c r="B10" s="15"/>
      <c r="C10" s="15"/>
      <c r="D10" s="15"/>
      <c r="E10" s="15"/>
      <c r="F10" s="15"/>
      <c r="G10" s="15"/>
      <c r="H10" s="15"/>
      <c r="I10" s="18"/>
      <c r="J10" s="15"/>
      <c r="K10" s="3"/>
    </row>
    <row r="11" spans="1:11">
      <c r="A11" s="3"/>
      <c r="B11" s="15"/>
      <c r="C11" s="15"/>
      <c r="D11" s="15"/>
      <c r="E11" s="15"/>
      <c r="F11" s="15"/>
      <c r="G11" s="15"/>
      <c r="H11" s="15"/>
      <c r="I11" s="18"/>
      <c r="J11" s="15"/>
      <c r="K11" s="3"/>
    </row>
    <row r="12" spans="1:11">
      <c r="A12" s="3"/>
      <c r="B12" s="15"/>
      <c r="C12" s="15"/>
      <c r="D12" s="15"/>
      <c r="E12" s="15"/>
      <c r="F12" s="15"/>
      <c r="G12" s="15"/>
      <c r="H12" s="15"/>
      <c r="I12" s="18"/>
      <c r="J12" s="15"/>
      <c r="K12" s="3"/>
    </row>
    <row r="13" spans="1:11">
      <c r="A13" s="3"/>
      <c r="B13" s="15"/>
      <c r="C13" s="15"/>
      <c r="D13" s="15"/>
      <c r="E13" s="15"/>
      <c r="F13" s="15"/>
      <c r="G13" s="15"/>
      <c r="H13" s="15"/>
      <c r="I13" s="18"/>
      <c r="J13" s="15"/>
      <c r="K13" s="3"/>
    </row>
    <row r="14" spans="1:11">
      <c r="A14" s="3"/>
      <c r="B14" s="15"/>
      <c r="C14" s="15"/>
      <c r="D14" s="15"/>
      <c r="E14" s="15"/>
      <c r="F14" s="15"/>
      <c r="G14" s="15"/>
      <c r="H14" s="15"/>
      <c r="I14" s="18"/>
      <c r="J14" s="15"/>
      <c r="K14" s="3"/>
    </row>
    <row r="15" spans="1:11">
      <c r="A15" s="3"/>
      <c r="B15" s="15"/>
      <c r="C15" s="15"/>
      <c r="D15" s="15"/>
      <c r="E15" s="15"/>
      <c r="F15" s="15"/>
      <c r="G15" s="15"/>
      <c r="H15" s="15"/>
      <c r="I15" s="18"/>
      <c r="J15" s="15"/>
      <c r="K15" s="3"/>
    </row>
    <row r="16" spans="1:11">
      <c r="A16" s="3"/>
      <c r="B16" s="15"/>
      <c r="C16" s="15"/>
      <c r="D16" s="15"/>
      <c r="E16" s="15"/>
      <c r="F16" s="15"/>
      <c r="G16" s="15"/>
      <c r="H16" s="15"/>
      <c r="I16" s="18"/>
      <c r="J16" s="15"/>
      <c r="K16" s="3"/>
    </row>
    <row r="17" spans="1:11">
      <c r="A17" s="3"/>
      <c r="B17" s="15"/>
      <c r="C17" s="15"/>
      <c r="D17" s="15"/>
      <c r="E17" s="15"/>
      <c r="F17" s="15"/>
      <c r="G17" s="15"/>
      <c r="H17" s="15"/>
      <c r="I17" s="18"/>
      <c r="J17" s="15"/>
      <c r="K17" s="3"/>
    </row>
    <row r="18" spans="1:11">
      <c r="A18" s="3"/>
      <c r="B18" s="15"/>
      <c r="C18" s="15"/>
      <c r="D18" s="15"/>
      <c r="E18" s="15"/>
      <c r="F18" s="15"/>
      <c r="G18" s="15"/>
      <c r="H18" s="15"/>
      <c r="I18" s="18"/>
      <c r="J18" s="15"/>
      <c r="K18" s="3"/>
    </row>
    <row r="19" spans="1:11">
      <c r="A19" s="3"/>
      <c r="B19" s="15"/>
      <c r="C19" s="15"/>
      <c r="D19" s="15"/>
      <c r="E19" s="15"/>
      <c r="F19" s="15"/>
      <c r="G19" s="15"/>
      <c r="H19" s="15"/>
      <c r="I19" s="18"/>
      <c r="J19" s="15"/>
      <c r="K19" s="3"/>
    </row>
    <row r="20" spans="1:11">
      <c r="A20" s="3"/>
      <c r="B20" s="15"/>
      <c r="C20" s="15"/>
      <c r="D20" s="15"/>
      <c r="E20" s="15"/>
      <c r="F20" s="15"/>
      <c r="G20" s="15"/>
      <c r="H20" s="15"/>
      <c r="I20" s="18"/>
      <c r="J20" s="15"/>
      <c r="K20" s="3"/>
    </row>
    <row r="21" spans="1:11">
      <c r="A21" s="3"/>
      <c r="B21" s="15"/>
      <c r="C21" s="15"/>
      <c r="D21" s="15"/>
      <c r="E21" s="15"/>
      <c r="F21" s="15"/>
      <c r="G21" s="15"/>
      <c r="H21" s="15"/>
      <c r="I21" s="18"/>
      <c r="J21" s="15"/>
      <c r="K21" s="3"/>
    </row>
    <row r="22" spans="1:11">
      <c r="A22" s="3"/>
      <c r="B22" s="15"/>
      <c r="C22" s="15"/>
      <c r="D22" s="15"/>
      <c r="E22" s="15"/>
      <c r="F22" s="15"/>
      <c r="G22" s="15"/>
      <c r="H22" s="15"/>
      <c r="I22" s="18"/>
      <c r="J22" s="15"/>
      <c r="K22" s="3"/>
    </row>
    <row r="23" spans="1:11">
      <c r="A23" s="3"/>
      <c r="B23" s="15"/>
      <c r="C23" s="15"/>
      <c r="D23" s="15"/>
      <c r="E23" s="15"/>
      <c r="F23" s="15"/>
      <c r="G23" s="15"/>
      <c r="H23" s="15"/>
      <c r="I23" s="18"/>
      <c r="J23" s="15"/>
      <c r="K23" s="3"/>
    </row>
    <row r="24" spans="1:11">
      <c r="A24" s="3"/>
      <c r="B24" s="15"/>
      <c r="C24" s="15"/>
      <c r="D24" s="15"/>
      <c r="E24" s="15"/>
      <c r="F24" s="15"/>
      <c r="G24" s="15"/>
      <c r="H24" s="15"/>
      <c r="I24" s="18"/>
      <c r="J24" s="15"/>
      <c r="K24" s="3"/>
    </row>
  </sheetData>
  <mergeCells count="2">
    <mergeCell ref="A1:K1"/>
    <mergeCell ref="A2:K2"/>
  </mergeCells>
  <conditionalFormatting sqref="K5:K24">
    <cfRule type="containsText" dxfId="0" priority="1" operator="between" text="通过">
      <formula>NOT(ISERROR(SEARCH("通过",K5)))</formula>
    </cfRule>
    <cfRule type="containsText" dxfId="1" priority="2" operator="between" text="待">
      <formula>NOT(ISERROR(SEARCH("待",K5)))</formula>
    </cfRule>
    <cfRule type="containsText" dxfId="2" priority="3" operator="between" text="错误">
      <formula>NOT(ISERROR(SEARCH("错误",K5)))</formula>
    </cfRule>
  </conditionalFormatting>
  <dataValidations count="2">
    <dataValidation type="list" sqref="A5:A24">
      <formula1>"building.player_home,building.residential_house,building.lumber_cabin,building.fishing_hut,building.farm_field,building.market,building.warehouse,building.road,building.tree"</formula1>
    </dataValidation>
    <dataValidation type="list" sqref="E5:E24 G5:G24">
      <formula1>"金币,泥土,石头,原木,木板,树苗,蔬菜,鱼,黄金鱼"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showGridLines="0" tabSelected="1" topLeftCell="F4" workbookViewId="0">
      <selection activeCell="I5" sqref="I5"/>
    </sheetView>
  </sheetViews>
  <sheetFormatPr defaultColWidth="9" defaultRowHeight="14"/>
  <cols>
    <col min="1" max="1" width="28" customWidth="1"/>
    <col min="2" max="2" width="24" customWidth="1"/>
    <col min="3" max="3" width="18" customWidth="1"/>
    <col min="4" max="4" width="22" customWidth="1"/>
    <col min="5" max="5" width="18" customWidth="1"/>
    <col min="6" max="6" width="14" customWidth="1"/>
    <col min="7" max="7" width="12" customWidth="1"/>
    <col min="8" max="8" width="20" customWidth="1"/>
    <col min="9" max="9" width="16" customWidth="1"/>
    <col min="10" max="10" width="28" customWidth="1"/>
    <col min="11" max="11" width="22" customWidth="1"/>
  </cols>
  <sheetData>
    <row r="1" ht="30" customHeight="1" spans="1:11">
      <c r="A1" s="1" t="s">
        <v>199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8" customHeight="1" spans="1:11">
      <c r="A2" s="2" t="s">
        <v>200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ht="30" customHeight="1" spans="1:11">
      <c r="A4" s="4" t="s">
        <v>35</v>
      </c>
      <c r="B4" s="5" t="s">
        <v>201</v>
      </c>
      <c r="C4" s="5" t="s">
        <v>202</v>
      </c>
      <c r="D4" s="5" t="s">
        <v>203</v>
      </c>
      <c r="E4" s="5" t="s">
        <v>204</v>
      </c>
      <c r="F4" s="5" t="s">
        <v>205</v>
      </c>
      <c r="G4" s="5" t="s">
        <v>206</v>
      </c>
      <c r="H4" s="5" t="s">
        <v>207</v>
      </c>
      <c r="I4" s="5" t="s">
        <v>208</v>
      </c>
      <c r="J4" s="5" t="s">
        <v>209</v>
      </c>
      <c r="K4" s="6" t="s">
        <v>131</v>
      </c>
    </row>
    <row r="5" spans="1:11">
      <c r="A5" s="7" t="s">
        <v>88</v>
      </c>
      <c r="B5" s="7" t="s">
        <v>210</v>
      </c>
      <c r="C5" s="7" t="s">
        <v>211</v>
      </c>
      <c r="D5" s="7" t="s">
        <v>212</v>
      </c>
      <c r="E5" s="7" t="s">
        <v>213</v>
      </c>
      <c r="F5" s="9">
        <v>4</v>
      </c>
      <c r="G5" s="9">
        <v>1</v>
      </c>
      <c r="H5" s="16" t="s">
        <v>214</v>
      </c>
      <c r="I5" s="7" t="s">
        <v>57</v>
      </c>
      <c r="J5" s="10" t="str">
        <f>IF(AND(D5="beauty",E5="cell",F5=1,G5=1,I5="否"),"正交四邻格各 +1","按当前参数计算")</f>
        <v>按当前参数计算</v>
      </c>
      <c r="K5" s="10" t="str">
        <f>IF(OR(F5&lt;0,G5&lt;=0,AND(I5="否",F5&lt;1)),"错误：范围/数值",IF(AND(D5="beauty",E5&lt;&gt;"cell"),"错误：美化目标","通过"))</f>
        <v>通过</v>
      </c>
    </row>
    <row r="6" spans="1:11">
      <c r="A6" s="3"/>
      <c r="B6" s="3"/>
      <c r="C6" s="3"/>
      <c r="D6" s="3"/>
      <c r="E6" s="3"/>
      <c r="F6" s="15"/>
      <c r="G6" s="15"/>
      <c r="H6" s="3"/>
      <c r="I6" s="3"/>
      <c r="J6" s="3"/>
      <c r="K6" s="3"/>
    </row>
    <row r="7" spans="1:11">
      <c r="A7" s="3"/>
      <c r="B7" s="3"/>
      <c r="C7" s="3"/>
      <c r="D7" s="3"/>
      <c r="E7" s="3"/>
      <c r="F7" s="15"/>
      <c r="G7" s="15"/>
      <c r="H7" s="3"/>
      <c r="I7" s="3"/>
      <c r="J7" s="3"/>
      <c r="K7" s="3"/>
    </row>
    <row r="8" spans="1:11">
      <c r="A8" s="3"/>
      <c r="B8" s="3"/>
      <c r="C8" s="3"/>
      <c r="D8" s="3"/>
      <c r="E8" s="3"/>
      <c r="F8" s="15"/>
      <c r="G8" s="15"/>
      <c r="H8" s="3"/>
      <c r="I8" s="3"/>
      <c r="J8" s="3"/>
      <c r="K8" s="3"/>
    </row>
    <row r="9" spans="1:11">
      <c r="A9" s="3"/>
      <c r="B9" s="3"/>
      <c r="C9" s="3"/>
      <c r="D9" s="3"/>
      <c r="E9" s="3"/>
      <c r="F9" s="15"/>
      <c r="G9" s="15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15"/>
      <c r="G10" s="15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15"/>
      <c r="G11" s="15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15"/>
      <c r="G12" s="15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15"/>
      <c r="G13" s="15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15"/>
      <c r="G14" s="15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15"/>
      <c r="G15" s="15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15"/>
      <c r="G16" s="15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15"/>
      <c r="G17" s="15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15"/>
      <c r="G18" s="15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15"/>
      <c r="G19" s="15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15"/>
      <c r="G20" s="15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15"/>
      <c r="G21" s="15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15"/>
      <c r="G22" s="15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15"/>
      <c r="G23" s="15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15"/>
      <c r="G24" s="15"/>
      <c r="H24" s="3"/>
      <c r="I24" s="3"/>
      <c r="J24" s="3"/>
      <c r="K24" s="3"/>
    </row>
  </sheetData>
  <mergeCells count="2">
    <mergeCell ref="A1:K1"/>
    <mergeCell ref="A2:K2"/>
  </mergeCells>
  <conditionalFormatting sqref="K5:K24">
    <cfRule type="containsText" dxfId="0" priority="1" operator="between" text="通过">
      <formula>NOT(ISERROR(SEARCH("通过",K5)))</formula>
    </cfRule>
    <cfRule type="containsText" dxfId="1" priority="2" operator="between" text="待">
      <formula>NOT(ISERROR(SEARCH("待",K5)))</formula>
    </cfRule>
    <cfRule type="containsText" dxfId="2" priority="3" operator="between" text="错误">
      <formula>NOT(ISERROR(SEARCH("错误",K5)))</formula>
    </cfRule>
  </conditionalFormatting>
  <dataValidations count="5">
    <dataValidation type="list" sqref="A5:A24">
      <formula1>"building.player_home,building.residential_house,building.lumber_cabin,building.fishing_hut,building.farm_field,building.market,building.warehouse,building.road,building.tree"</formula1>
    </dataValidation>
    <dataValidation type="list" sqref="D5:D24">
      <formula1>"beauty,production_percent"</formula1>
    </dataValidation>
    <dataValidation type="list" sqref="E5:E24">
      <formula1>"cell,any_building,farmland"</formula1>
    </dataValidation>
    <dataValidation type="list" sqref="H5:H24">
      <formula1>"additive,no_stack,highest_value"</formula1>
    </dataValidation>
    <dataValidation type="list" sqref="I5:I24">
      <formula1>"是,否"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showGridLines="0" topLeftCell="A4" workbookViewId="0">
      <selection activeCell="A1" sqref="A1:E1"/>
    </sheetView>
  </sheetViews>
  <sheetFormatPr defaultColWidth="9" defaultRowHeight="14" outlineLevelCol="4"/>
  <cols>
    <col min="1" max="1" width="28" customWidth="1"/>
    <col min="2" max="2" width="24" customWidth="1"/>
    <col min="3" max="3" width="18" customWidth="1"/>
    <col min="4" max="4" width="12" customWidth="1"/>
    <col min="5" max="5" width="42" customWidth="1"/>
  </cols>
  <sheetData>
    <row r="1" ht="30" customHeight="1" spans="1:5">
      <c r="A1" s="1" t="s">
        <v>215</v>
      </c>
      <c r="B1" s="1"/>
      <c r="C1" s="1"/>
      <c r="D1" s="1"/>
      <c r="E1" s="1"/>
    </row>
    <row r="2" ht="38" customHeight="1" spans="1:5">
      <c r="A2" s="2" t="s">
        <v>216</v>
      </c>
      <c r="B2" s="2"/>
      <c r="C2" s="2"/>
      <c r="D2" s="2"/>
      <c r="E2" s="2"/>
    </row>
    <row r="3" spans="1:5">
      <c r="A3" s="3"/>
      <c r="B3" s="3"/>
      <c r="C3" s="3"/>
      <c r="D3" s="3"/>
      <c r="E3" s="3"/>
    </row>
    <row r="4" ht="30" customHeight="1" spans="1:5">
      <c r="A4" s="4" t="s">
        <v>35</v>
      </c>
      <c r="B4" s="5" t="s">
        <v>217</v>
      </c>
      <c r="C4" s="5" t="s">
        <v>202</v>
      </c>
      <c r="D4" s="5" t="s">
        <v>218</v>
      </c>
      <c r="E4" s="6" t="s">
        <v>53</v>
      </c>
    </row>
    <row r="5" spans="1:5">
      <c r="A5" s="3"/>
      <c r="B5" s="3"/>
      <c r="C5" s="3"/>
      <c r="D5" s="15"/>
      <c r="E5" s="3"/>
    </row>
    <row r="6" spans="1:5">
      <c r="A6" s="3"/>
      <c r="B6" s="3"/>
      <c r="C6" s="3"/>
      <c r="D6" s="15"/>
      <c r="E6" s="3"/>
    </row>
    <row r="7" spans="1:5">
      <c r="A7" s="3"/>
      <c r="B7" s="3"/>
      <c r="C7" s="3"/>
      <c r="D7" s="15"/>
      <c r="E7" s="3"/>
    </row>
    <row r="8" spans="1:5">
      <c r="A8" s="3"/>
      <c r="B8" s="3"/>
      <c r="C8" s="3"/>
      <c r="D8" s="15"/>
      <c r="E8" s="3"/>
    </row>
    <row r="9" spans="1:5">
      <c r="A9" s="3"/>
      <c r="B9" s="3"/>
      <c r="C9" s="3"/>
      <c r="D9" s="15"/>
      <c r="E9" s="3"/>
    </row>
    <row r="10" spans="1:5">
      <c r="A10" s="3"/>
      <c r="B10" s="3"/>
      <c r="C10" s="3"/>
      <c r="D10" s="15"/>
      <c r="E10" s="3"/>
    </row>
    <row r="11" spans="1:5">
      <c r="A11" s="3"/>
      <c r="B11" s="3"/>
      <c r="C11" s="3"/>
      <c r="D11" s="15"/>
      <c r="E11" s="3"/>
    </row>
    <row r="12" spans="1:5">
      <c r="A12" s="3"/>
      <c r="B12" s="3"/>
      <c r="C12" s="3"/>
      <c r="D12" s="15"/>
      <c r="E12" s="3"/>
    </row>
    <row r="13" spans="1:5">
      <c r="A13" s="3"/>
      <c r="B13" s="3"/>
      <c r="C13" s="3"/>
      <c r="D13" s="15"/>
      <c r="E13" s="3"/>
    </row>
    <row r="14" spans="1:5">
      <c r="A14" s="3"/>
      <c r="B14" s="3"/>
      <c r="C14" s="3"/>
      <c r="D14" s="15"/>
      <c r="E14" s="3"/>
    </row>
    <row r="15" spans="1:5">
      <c r="A15" s="3"/>
      <c r="B15" s="3"/>
      <c r="C15" s="3"/>
      <c r="D15" s="15"/>
      <c r="E15" s="3"/>
    </row>
    <row r="16" spans="1:5">
      <c r="A16" s="3"/>
      <c r="B16" s="3"/>
      <c r="C16" s="3"/>
      <c r="D16" s="15"/>
      <c r="E16" s="3"/>
    </row>
    <row r="17" spans="1:5">
      <c r="A17" s="3"/>
      <c r="B17" s="3"/>
      <c r="C17" s="3"/>
      <c r="D17" s="15"/>
      <c r="E17" s="3"/>
    </row>
    <row r="18" spans="1:5">
      <c r="A18" s="3"/>
      <c r="B18" s="3"/>
      <c r="C18" s="3"/>
      <c r="D18" s="15"/>
      <c r="E18" s="3"/>
    </row>
    <row r="19" spans="1:5">
      <c r="A19" s="3"/>
      <c r="B19" s="3"/>
      <c r="C19" s="3"/>
      <c r="D19" s="15"/>
      <c r="E19" s="3"/>
    </row>
    <row r="20" spans="1:5">
      <c r="A20" s="3"/>
      <c r="B20" s="3"/>
      <c r="C20" s="3"/>
      <c r="D20" s="15"/>
      <c r="E20" s="3"/>
    </row>
    <row r="21" spans="1:5">
      <c r="A21" s="3"/>
      <c r="B21" s="3"/>
      <c r="C21" s="3"/>
      <c r="D21" s="15"/>
      <c r="E21" s="3"/>
    </row>
    <row r="22" spans="1:5">
      <c r="A22" s="3"/>
      <c r="B22" s="3"/>
      <c r="C22" s="3"/>
      <c r="D22" s="15"/>
      <c r="E22" s="3"/>
    </row>
    <row r="23" spans="1:5">
      <c r="A23" s="3"/>
      <c r="B23" s="3"/>
      <c r="C23" s="3"/>
      <c r="D23" s="15"/>
      <c r="E23" s="3"/>
    </row>
    <row r="24" spans="1:5">
      <c r="A24" s="3"/>
      <c r="B24" s="3"/>
      <c r="C24" s="3"/>
      <c r="D24" s="15"/>
      <c r="E24" s="3"/>
    </row>
  </sheetData>
  <mergeCells count="2">
    <mergeCell ref="A1:E1"/>
    <mergeCell ref="A2:E2"/>
  </mergeCells>
  <dataValidations count="1">
    <dataValidation type="list" sqref="A5:A24">
      <formula1>"building.player_home,building.residential_house,building.lumber_cabin,building.fishing_hut,building.farm_field,building.market,building.warehouse,building.road,building.tree"</formula1>
    </dataValidation>
  </dataValidation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showGridLines="0" topLeftCell="A2" workbookViewId="0">
      <selection activeCell="A1" sqref="A1:E1"/>
    </sheetView>
  </sheetViews>
  <sheetFormatPr defaultColWidth="9" defaultRowHeight="14" outlineLevelCol="4"/>
  <cols>
    <col min="1" max="1" width="28" customWidth="1"/>
    <col min="2" max="2" width="24" customWidth="1"/>
    <col min="3" max="3" width="16" customWidth="1"/>
    <col min="4" max="4" width="10" customWidth="1"/>
    <col min="5" max="5" width="38" customWidth="1"/>
  </cols>
  <sheetData>
    <row r="1" ht="30" customHeight="1" spans="1:5">
      <c r="A1" s="1" t="s">
        <v>219</v>
      </c>
      <c r="B1" s="1"/>
      <c r="C1" s="1"/>
      <c r="D1" s="1"/>
      <c r="E1" s="1"/>
    </row>
    <row r="2" ht="38" customHeight="1" spans="1:5">
      <c r="A2" s="2" t="s">
        <v>220</v>
      </c>
      <c r="B2" s="2"/>
      <c r="C2" s="2"/>
      <c r="D2" s="2"/>
      <c r="E2" s="2"/>
    </row>
    <row r="3" spans="1:5">
      <c r="A3" s="3"/>
      <c r="B3" s="3"/>
      <c r="C3" s="3"/>
      <c r="D3" s="3"/>
      <c r="E3" s="3"/>
    </row>
    <row r="4" ht="30" customHeight="1" spans="1:5">
      <c r="A4" s="4" t="s">
        <v>35</v>
      </c>
      <c r="B4" s="5" t="s">
        <v>217</v>
      </c>
      <c r="C4" s="5" t="s">
        <v>16</v>
      </c>
      <c r="D4" s="5" t="s">
        <v>94</v>
      </c>
      <c r="E4" s="6" t="s">
        <v>53</v>
      </c>
    </row>
    <row r="5" spans="1:5">
      <c r="A5" s="3"/>
      <c r="B5" s="3"/>
      <c r="C5" s="3"/>
      <c r="D5" s="15"/>
      <c r="E5" s="3"/>
    </row>
    <row r="6" spans="1:5">
      <c r="A6" s="3"/>
      <c r="B6" s="3"/>
      <c r="C6" s="3"/>
      <c r="D6" s="15"/>
      <c r="E6" s="3"/>
    </row>
    <row r="7" spans="1:5">
      <c r="A7" s="3"/>
      <c r="B7" s="3"/>
      <c r="C7" s="3"/>
      <c r="D7" s="15"/>
      <c r="E7" s="3"/>
    </row>
    <row r="8" spans="1:5">
      <c r="A8" s="3"/>
      <c r="B8" s="3"/>
      <c r="C8" s="3"/>
      <c r="D8" s="15"/>
      <c r="E8" s="3"/>
    </row>
    <row r="9" spans="1:5">
      <c r="A9" s="3"/>
      <c r="B9" s="3"/>
      <c r="C9" s="3"/>
      <c r="D9" s="15"/>
      <c r="E9" s="3"/>
    </row>
    <row r="10" spans="1:5">
      <c r="A10" s="3"/>
      <c r="B10" s="3"/>
      <c r="C10" s="3"/>
      <c r="D10" s="15"/>
      <c r="E10" s="3"/>
    </row>
    <row r="11" spans="1:5">
      <c r="A11" s="3"/>
      <c r="B11" s="3"/>
      <c r="C11" s="3"/>
      <c r="D11" s="15"/>
      <c r="E11" s="3"/>
    </row>
    <row r="12" spans="1:5">
      <c r="A12" s="3"/>
      <c r="B12" s="3"/>
      <c r="C12" s="3"/>
      <c r="D12" s="15"/>
      <c r="E12" s="3"/>
    </row>
    <row r="13" spans="1:5">
      <c r="A13" s="3"/>
      <c r="B13" s="3"/>
      <c r="C13" s="3"/>
      <c r="D13" s="15"/>
      <c r="E13" s="3"/>
    </row>
    <row r="14" spans="1:5">
      <c r="A14" s="3"/>
      <c r="B14" s="3"/>
      <c r="C14" s="3"/>
      <c r="D14" s="15"/>
      <c r="E14" s="3"/>
    </row>
    <row r="15" spans="1:5">
      <c r="A15" s="3"/>
      <c r="B15" s="3"/>
      <c r="C15" s="3"/>
      <c r="D15" s="15"/>
      <c r="E15" s="3"/>
    </row>
    <row r="16" spans="1:5">
      <c r="A16" s="3"/>
      <c r="B16" s="3"/>
      <c r="C16" s="3"/>
      <c r="D16" s="15"/>
      <c r="E16" s="3"/>
    </row>
    <row r="17" spans="1:5">
      <c r="A17" s="3"/>
      <c r="B17" s="3"/>
      <c r="C17" s="3"/>
      <c r="D17" s="15"/>
      <c r="E17" s="3"/>
    </row>
    <row r="18" spans="1:5">
      <c r="A18" s="3"/>
      <c r="B18" s="3"/>
      <c r="C18" s="3"/>
      <c r="D18" s="15"/>
      <c r="E18" s="3"/>
    </row>
    <row r="19" spans="1:5">
      <c r="A19" s="3"/>
      <c r="B19" s="3"/>
      <c r="C19" s="3"/>
      <c r="D19" s="15"/>
      <c r="E19" s="3"/>
    </row>
    <row r="20" spans="1:5">
      <c r="A20" s="3"/>
      <c r="B20" s="3"/>
      <c r="C20" s="3"/>
      <c r="D20" s="15"/>
      <c r="E20" s="3"/>
    </row>
    <row r="21" spans="1:5">
      <c r="A21" s="3"/>
      <c r="B21" s="3"/>
      <c r="C21" s="3"/>
      <c r="D21" s="15"/>
      <c r="E21" s="3"/>
    </row>
    <row r="22" spans="1:5">
      <c r="A22" s="3"/>
      <c r="B22" s="3"/>
      <c r="C22" s="3"/>
      <c r="D22" s="15"/>
      <c r="E22" s="3"/>
    </row>
    <row r="23" spans="1:5">
      <c r="A23" s="3"/>
      <c r="B23" s="3"/>
      <c r="C23" s="3"/>
      <c r="D23" s="15"/>
      <c r="E23" s="3"/>
    </row>
    <row r="24" spans="1:5">
      <c r="A24" s="3"/>
      <c r="B24" s="3"/>
      <c r="C24" s="3"/>
      <c r="D24" s="15"/>
      <c r="E24" s="3"/>
    </row>
  </sheetData>
  <mergeCells count="2">
    <mergeCell ref="A1:E1"/>
    <mergeCell ref="A2:E2"/>
  </mergeCells>
  <dataValidations count="2">
    <dataValidation type="list" sqref="A5:A24">
      <formula1>"building.player_home,building.residential_house,building.lumber_cabin,building.fishing_hut,building.farm_field,building.market,building.warehouse,building.road,building.tree"</formula1>
    </dataValidation>
    <dataValidation type="list" sqref="C5:C24">
      <formula1>"金币,泥土,石头,原木,木板,树苗,蔬菜,鱼,黄金鱼"</formula1>
    </dataValidation>
  </dataValidation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showGridLines="0" workbookViewId="0">
      <selection activeCell="A1" sqref="A1:F1"/>
    </sheetView>
  </sheetViews>
  <sheetFormatPr defaultColWidth="9" defaultRowHeight="14" outlineLevelCol="5"/>
  <cols>
    <col min="1" max="1" width="28" customWidth="1"/>
    <col min="2" max="2" width="24" customWidth="1"/>
    <col min="3" max="3" width="16" customWidth="1"/>
    <col min="4" max="5" width="12" customWidth="1"/>
    <col min="6" max="6" width="38" customWidth="1"/>
  </cols>
  <sheetData>
    <row r="1" ht="30" customHeight="1" spans="1:6">
      <c r="A1" s="1" t="s">
        <v>221</v>
      </c>
      <c r="B1" s="1"/>
      <c r="C1" s="1"/>
      <c r="D1" s="1"/>
      <c r="E1" s="1"/>
      <c r="F1" s="1"/>
    </row>
    <row r="2" ht="38" customHeight="1" spans="1:6">
      <c r="A2" s="2" t="s">
        <v>222</v>
      </c>
      <c r="B2" s="2"/>
      <c r="C2" s="2"/>
      <c r="D2" s="2"/>
      <c r="E2" s="2"/>
      <c r="F2" s="2"/>
    </row>
    <row r="3" spans="1:6">
      <c r="A3" s="3"/>
      <c r="B3" s="3"/>
      <c r="C3" s="3"/>
      <c r="D3" s="3"/>
      <c r="E3" s="3"/>
      <c r="F3" s="3"/>
    </row>
    <row r="4" ht="30" customHeight="1" spans="1:6">
      <c r="A4" s="4" t="s">
        <v>35</v>
      </c>
      <c r="B4" s="5" t="s">
        <v>217</v>
      </c>
      <c r="C4" s="5" t="s">
        <v>16</v>
      </c>
      <c r="D4" s="5" t="s">
        <v>223</v>
      </c>
      <c r="E4" s="5" t="s">
        <v>224</v>
      </c>
      <c r="F4" s="6" t="s">
        <v>53</v>
      </c>
    </row>
    <row r="5" spans="1:6">
      <c r="A5" s="3"/>
      <c r="B5" s="3"/>
      <c r="C5" s="3"/>
      <c r="D5" s="15"/>
      <c r="E5" s="15"/>
      <c r="F5" s="3"/>
    </row>
    <row r="6" spans="1:6">
      <c r="A6" s="3"/>
      <c r="B6" s="3"/>
      <c r="C6" s="3"/>
      <c r="D6" s="15"/>
      <c r="E6" s="15"/>
      <c r="F6" s="3"/>
    </row>
    <row r="7" spans="1:6">
      <c r="A7" s="3"/>
      <c r="B7" s="3"/>
      <c r="C7" s="3"/>
      <c r="D7" s="15"/>
      <c r="E7" s="15"/>
      <c r="F7" s="3"/>
    </row>
    <row r="8" spans="1:6">
      <c r="A8" s="3"/>
      <c r="B8" s="3"/>
      <c r="C8" s="3"/>
      <c r="D8" s="15"/>
      <c r="E8" s="15"/>
      <c r="F8" s="3"/>
    </row>
    <row r="9" spans="1:6">
      <c r="A9" s="3"/>
      <c r="B9" s="3"/>
      <c r="C9" s="3"/>
      <c r="D9" s="15"/>
      <c r="E9" s="15"/>
      <c r="F9" s="3"/>
    </row>
    <row r="10" spans="1:6">
      <c r="A10" s="3"/>
      <c r="B10" s="3"/>
      <c r="C10" s="3"/>
      <c r="D10" s="15"/>
      <c r="E10" s="15"/>
      <c r="F10" s="3"/>
    </row>
    <row r="11" spans="1:6">
      <c r="A11" s="3"/>
      <c r="B11" s="3"/>
      <c r="C11" s="3"/>
      <c r="D11" s="15"/>
      <c r="E11" s="15"/>
      <c r="F11" s="3"/>
    </row>
    <row r="12" spans="1:6">
      <c r="A12" s="3"/>
      <c r="B12" s="3"/>
      <c r="C12" s="3"/>
      <c r="D12" s="15"/>
      <c r="E12" s="15"/>
      <c r="F12" s="3"/>
    </row>
    <row r="13" spans="1:6">
      <c r="A13" s="3"/>
      <c r="B13" s="3"/>
      <c r="C13" s="3"/>
      <c r="D13" s="15"/>
      <c r="E13" s="15"/>
      <c r="F13" s="3"/>
    </row>
    <row r="14" spans="1:6">
      <c r="A14" s="3"/>
      <c r="B14" s="3"/>
      <c r="C14" s="3"/>
      <c r="D14" s="15"/>
      <c r="E14" s="15"/>
      <c r="F14" s="3"/>
    </row>
    <row r="15" spans="1:6">
      <c r="A15" s="3"/>
      <c r="B15" s="3"/>
      <c r="C15" s="3"/>
      <c r="D15" s="15"/>
      <c r="E15" s="15"/>
      <c r="F15" s="3"/>
    </row>
    <row r="16" spans="1:6">
      <c r="A16" s="3"/>
      <c r="B16" s="3"/>
      <c r="C16" s="3"/>
      <c r="D16" s="15"/>
      <c r="E16" s="15"/>
      <c r="F16" s="3"/>
    </row>
    <row r="17" spans="1:6">
      <c r="A17" s="3"/>
      <c r="B17" s="3"/>
      <c r="C17" s="3"/>
      <c r="D17" s="15"/>
      <c r="E17" s="15"/>
      <c r="F17" s="3"/>
    </row>
    <row r="18" spans="1:6">
      <c r="A18" s="3"/>
      <c r="B18" s="3"/>
      <c r="C18" s="3"/>
      <c r="D18" s="15"/>
      <c r="E18" s="15"/>
      <c r="F18" s="3"/>
    </row>
    <row r="19" spans="1:6">
      <c r="A19" s="3"/>
      <c r="B19" s="3"/>
      <c r="C19" s="3"/>
      <c r="D19" s="15"/>
      <c r="E19" s="15"/>
      <c r="F19" s="3"/>
    </row>
    <row r="20" spans="1:6">
      <c r="A20" s="3"/>
      <c r="B20" s="3"/>
      <c r="C20" s="3"/>
      <c r="D20" s="15"/>
      <c r="E20" s="15"/>
      <c r="F20" s="3"/>
    </row>
    <row r="21" spans="1:6">
      <c r="A21" s="3"/>
      <c r="B21" s="3"/>
      <c r="C21" s="3"/>
      <c r="D21" s="15"/>
      <c r="E21" s="15"/>
      <c r="F21" s="3"/>
    </row>
    <row r="22" spans="1:6">
      <c r="A22" s="3"/>
      <c r="B22" s="3"/>
      <c r="C22" s="3"/>
      <c r="D22" s="15"/>
      <c r="E22" s="15"/>
      <c r="F22" s="3"/>
    </row>
    <row r="23" spans="1:6">
      <c r="A23" s="3"/>
      <c r="B23" s="3"/>
      <c r="C23" s="3"/>
      <c r="D23" s="15"/>
      <c r="E23" s="15"/>
      <c r="F23" s="3"/>
    </row>
    <row r="24" spans="1:6">
      <c r="A24" s="3"/>
      <c r="B24" s="3"/>
      <c r="C24" s="3"/>
      <c r="D24" s="15"/>
      <c r="E24" s="15"/>
      <c r="F24" s="3"/>
    </row>
  </sheetData>
  <mergeCells count="2">
    <mergeCell ref="A1:F1"/>
    <mergeCell ref="A2:F2"/>
  </mergeCells>
  <dataValidations count="2">
    <dataValidation type="list" sqref="A5:A24">
      <formula1>"building.player_home,building.residential_house,building.lumber_cabin,building.fishing_hut,building.farm_field,building.market,building.warehouse,building.road,building.tree"</formula1>
    </dataValidation>
    <dataValidation type="list" sqref="C5:C24">
      <formula1>"金币,泥土,石头,原木,木板,树苗,蔬菜,鱼,黄金鱼"</formula1>
    </dataValidation>
  </dataValidation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showGridLines="0" workbookViewId="0">
      <selection activeCell="A1" sqref="A1:D1"/>
    </sheetView>
  </sheetViews>
  <sheetFormatPr defaultColWidth="9" defaultRowHeight="14" outlineLevelCol="3"/>
  <cols>
    <col min="1" max="1" width="28" customWidth="1"/>
    <col min="2" max="2" width="16" customWidth="1"/>
    <col min="3" max="3" width="10" customWidth="1"/>
    <col min="4" max="4" width="44" customWidth="1"/>
  </cols>
  <sheetData>
    <row r="1" ht="30" customHeight="1" spans="1:4">
      <c r="A1" s="1" t="s">
        <v>225</v>
      </c>
      <c r="B1" s="1"/>
      <c r="C1" s="1"/>
      <c r="D1" s="1"/>
    </row>
    <row r="2" ht="38" customHeight="1" spans="1:4">
      <c r="A2" s="2" t="s">
        <v>226</v>
      </c>
      <c r="B2" s="2"/>
      <c r="C2" s="2"/>
      <c r="D2" s="2"/>
    </row>
    <row r="3" spans="1:4">
      <c r="A3" s="3"/>
      <c r="B3" s="3"/>
      <c r="C3" s="3"/>
      <c r="D3" s="3"/>
    </row>
    <row r="4" ht="30" customHeight="1" spans="1:4">
      <c r="A4" s="4" t="s">
        <v>35</v>
      </c>
      <c r="B4" s="5" t="s">
        <v>16</v>
      </c>
      <c r="C4" s="5" t="s">
        <v>94</v>
      </c>
      <c r="D4" s="6" t="s">
        <v>53</v>
      </c>
    </row>
    <row r="5" spans="1:4">
      <c r="A5" s="3"/>
      <c r="B5" s="3"/>
      <c r="C5" s="15"/>
      <c r="D5" s="3"/>
    </row>
    <row r="6" spans="1:4">
      <c r="A6" s="3"/>
      <c r="B6" s="3"/>
      <c r="C6" s="15"/>
      <c r="D6" s="3"/>
    </row>
    <row r="7" spans="1:4">
      <c r="A7" s="3"/>
      <c r="B7" s="3"/>
      <c r="C7" s="15"/>
      <c r="D7" s="3"/>
    </row>
    <row r="8" spans="1:4">
      <c r="A8" s="3"/>
      <c r="B8" s="3"/>
      <c r="C8" s="15"/>
      <c r="D8" s="3"/>
    </row>
    <row r="9" spans="1:4">
      <c r="A9" s="3"/>
      <c r="B9" s="3"/>
      <c r="C9" s="15"/>
      <c r="D9" s="3"/>
    </row>
    <row r="10" spans="1:4">
      <c r="A10" s="3"/>
      <c r="B10" s="3"/>
      <c r="C10" s="15"/>
      <c r="D10" s="3"/>
    </row>
    <row r="11" spans="1:4">
      <c r="A11" s="3"/>
      <c r="B11" s="3"/>
      <c r="C11" s="15"/>
      <c r="D11" s="3"/>
    </row>
    <row r="12" spans="1:4">
      <c r="A12" s="3"/>
      <c r="B12" s="3"/>
      <c r="C12" s="15"/>
      <c r="D12" s="3"/>
    </row>
    <row r="13" spans="1:4">
      <c r="A13" s="3"/>
      <c r="B13" s="3"/>
      <c r="C13" s="15"/>
      <c r="D13" s="3"/>
    </row>
    <row r="14" spans="1:4">
      <c r="A14" s="3"/>
      <c r="B14" s="3"/>
      <c r="C14" s="15"/>
      <c r="D14" s="3"/>
    </row>
    <row r="15" spans="1:4">
      <c r="A15" s="3"/>
      <c r="B15" s="3"/>
      <c r="C15" s="15"/>
      <c r="D15" s="3"/>
    </row>
    <row r="16" spans="1:4">
      <c r="A16" s="3"/>
      <c r="B16" s="3"/>
      <c r="C16" s="15"/>
      <c r="D16" s="3"/>
    </row>
    <row r="17" spans="1:4">
      <c r="A17" s="3"/>
      <c r="B17" s="3"/>
      <c r="C17" s="15"/>
      <c r="D17" s="3"/>
    </row>
    <row r="18" spans="1:4">
      <c r="A18" s="3"/>
      <c r="B18" s="3"/>
      <c r="C18" s="15"/>
      <c r="D18" s="3"/>
    </row>
    <row r="19" spans="1:4">
      <c r="A19" s="3"/>
      <c r="B19" s="3"/>
      <c r="C19" s="15"/>
      <c r="D19" s="3"/>
    </row>
    <row r="20" spans="1:4">
      <c r="A20" s="3"/>
      <c r="B20" s="3"/>
      <c r="C20" s="15"/>
      <c r="D20" s="3"/>
    </row>
    <row r="21" spans="1:4">
      <c r="A21" s="3"/>
      <c r="B21" s="3"/>
      <c r="C21" s="15"/>
      <c r="D21" s="3"/>
    </row>
    <row r="22" spans="1:4">
      <c r="A22" s="3"/>
      <c r="B22" s="3"/>
      <c r="C22" s="15"/>
      <c r="D22" s="3"/>
    </row>
    <row r="23" spans="1:4">
      <c r="A23" s="3"/>
      <c r="B23" s="3"/>
      <c r="C23" s="15"/>
      <c r="D23" s="3"/>
    </row>
    <row r="24" spans="1:4">
      <c r="A24" s="3"/>
      <c r="B24" s="3"/>
      <c r="C24" s="15"/>
      <c r="D24" s="3"/>
    </row>
  </sheetData>
  <mergeCells count="2">
    <mergeCell ref="A1:D1"/>
    <mergeCell ref="A2:D2"/>
  </mergeCells>
  <dataValidations count="2">
    <dataValidation type="list" sqref="A5:A24">
      <formula1>"building.player_home,building.residential_house,building.lumber_cabin,building.fishing_hut,building.farm_field,building.market,building.warehouse,building.road,building.tree"</formula1>
    </dataValidation>
    <dataValidation type="list" sqref="B5:B24">
      <formula1>"金币,泥土,石头,原木,木板,树苗,蔬菜,鱼,黄金鱼"</formula1>
    </dataValidation>
  </dataValidation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showGridLines="0" workbookViewId="0">
      <selection activeCell="E8" sqref="E8"/>
    </sheetView>
  </sheetViews>
  <sheetFormatPr defaultColWidth="9" defaultRowHeight="14" outlineLevelCol="5"/>
  <cols>
    <col min="1" max="1" width="28" customWidth="1"/>
    <col min="2" max="2" width="15" customWidth="1"/>
    <col min="3" max="3" width="16" customWidth="1"/>
    <col min="4" max="4" width="44" customWidth="1"/>
    <col min="5" max="5" width="48" customWidth="1"/>
    <col min="6" max="6" width="14" customWidth="1"/>
  </cols>
  <sheetData>
    <row r="1" ht="30" customHeight="1" spans="1:6">
      <c r="A1" s="1" t="s">
        <v>227</v>
      </c>
      <c r="B1" s="1"/>
      <c r="C1" s="1"/>
      <c r="D1" s="1"/>
      <c r="E1" s="1"/>
      <c r="F1" s="1"/>
    </row>
    <row r="2" ht="38" customHeight="1" spans="1:6">
      <c r="A2" s="2" t="s">
        <v>228</v>
      </c>
      <c r="B2" s="2"/>
      <c r="C2" s="2"/>
      <c r="D2" s="2"/>
      <c r="E2" s="2"/>
      <c r="F2" s="2"/>
    </row>
    <row r="3" spans="1:6">
      <c r="A3" s="3"/>
      <c r="B3" s="3"/>
      <c r="C3" s="3"/>
      <c r="D3" s="3"/>
      <c r="E3" s="3"/>
      <c r="F3" s="3"/>
    </row>
    <row r="4" ht="30" customHeight="1" spans="1:6">
      <c r="A4" s="4" t="s">
        <v>35</v>
      </c>
      <c r="B4" s="5" t="s">
        <v>229</v>
      </c>
      <c r="C4" s="5" t="s">
        <v>230</v>
      </c>
      <c r="D4" s="5" t="s">
        <v>231</v>
      </c>
      <c r="E4" s="5" t="s">
        <v>232</v>
      </c>
      <c r="F4" s="6" t="s">
        <v>233</v>
      </c>
    </row>
    <row r="5" spans="1:6">
      <c r="A5" s="7" t="s">
        <v>88</v>
      </c>
      <c r="B5" s="7" t="s">
        <v>234</v>
      </c>
      <c r="C5" s="7" t="s">
        <v>235</v>
      </c>
      <c r="D5" s="7" t="s">
        <v>236</v>
      </c>
      <c r="E5" s="7" t="s">
        <v>236</v>
      </c>
      <c r="F5" s="10" t="str">
        <f t="shared" ref="F5:F12" si="0">IF(OR(D5="",E5=""),"待回填","完整")</f>
        <v>待回填</v>
      </c>
    </row>
    <row r="6" spans="1:6">
      <c r="A6" s="11" t="s">
        <v>88</v>
      </c>
      <c r="B6" s="11" t="s">
        <v>237</v>
      </c>
      <c r="C6" s="11" t="s">
        <v>238</v>
      </c>
      <c r="D6" s="11" t="s">
        <v>236</v>
      </c>
      <c r="E6" s="11" t="s">
        <v>236</v>
      </c>
      <c r="F6" s="14" t="str">
        <f t="shared" si="0"/>
        <v>待回填</v>
      </c>
    </row>
    <row r="7" spans="1:6">
      <c r="A7" s="11" t="s">
        <v>88</v>
      </c>
      <c r="B7" s="11" t="s">
        <v>239</v>
      </c>
      <c r="C7" s="11" t="s">
        <v>240</v>
      </c>
      <c r="D7" s="11" t="s">
        <v>236</v>
      </c>
      <c r="E7" s="11" t="s">
        <v>236</v>
      </c>
      <c r="F7" s="14" t="str">
        <f t="shared" si="0"/>
        <v>待回填</v>
      </c>
    </row>
    <row r="8" spans="1:6">
      <c r="A8" s="11" t="s">
        <v>88</v>
      </c>
      <c r="B8" s="11" t="s">
        <v>241</v>
      </c>
      <c r="C8" s="11" t="s">
        <v>242</v>
      </c>
      <c r="D8" s="11" t="s">
        <v>236</v>
      </c>
      <c r="E8" s="11" t="s">
        <v>236</v>
      </c>
      <c r="F8" s="14" t="str">
        <f t="shared" si="0"/>
        <v>待回填</v>
      </c>
    </row>
    <row r="9" spans="1:6">
      <c r="A9" s="11" t="s">
        <v>88</v>
      </c>
      <c r="B9" s="11" t="s">
        <v>243</v>
      </c>
      <c r="C9" s="11" t="s">
        <v>244</v>
      </c>
      <c r="D9" s="11" t="s">
        <v>236</v>
      </c>
      <c r="E9" s="11" t="s">
        <v>236</v>
      </c>
      <c r="F9" s="14" t="str">
        <f t="shared" si="0"/>
        <v>待回填</v>
      </c>
    </row>
    <row r="10" spans="1:6">
      <c r="A10" s="11" t="s">
        <v>88</v>
      </c>
      <c r="B10" s="11" t="s">
        <v>245</v>
      </c>
      <c r="C10" s="11" t="s">
        <v>246</v>
      </c>
      <c r="D10" s="11" t="s">
        <v>236</v>
      </c>
      <c r="E10" s="11" t="s">
        <v>236</v>
      </c>
      <c r="F10" s="14" t="str">
        <f t="shared" si="0"/>
        <v>待回填</v>
      </c>
    </row>
    <row r="11" spans="1:6">
      <c r="A11" s="11" t="s">
        <v>88</v>
      </c>
      <c r="B11" s="11" t="s">
        <v>247</v>
      </c>
      <c r="C11" s="11" t="s">
        <v>248</v>
      </c>
      <c r="D11" s="11" t="s">
        <v>236</v>
      </c>
      <c r="E11" s="11" t="s">
        <v>236</v>
      </c>
      <c r="F11" s="14" t="str">
        <f t="shared" si="0"/>
        <v>待回填</v>
      </c>
    </row>
    <row r="12" spans="1:6">
      <c r="A12" s="11" t="s">
        <v>88</v>
      </c>
      <c r="B12" s="11" t="s">
        <v>249</v>
      </c>
      <c r="C12" s="11" t="s">
        <v>250</v>
      </c>
      <c r="D12" s="11" t="s">
        <v>236</v>
      </c>
      <c r="E12" s="11" t="s">
        <v>236</v>
      </c>
      <c r="F12" s="14" t="str">
        <f t="shared" si="0"/>
        <v>待回填</v>
      </c>
    </row>
  </sheetData>
  <mergeCells count="2">
    <mergeCell ref="A1:F1"/>
    <mergeCell ref="A2:F2"/>
  </mergeCells>
  <conditionalFormatting sqref="F5:F24">
    <cfRule type="containsText" dxfId="0" priority="1" operator="between" text="通过">
      <formula>NOT(ISERROR(SEARCH("通过",F5)))</formula>
    </cfRule>
    <cfRule type="containsText" dxfId="1" priority="2" operator="between" text="待">
      <formula>NOT(ISERROR(SEARCH("待",F5)))</formula>
    </cfRule>
    <cfRule type="containsText" dxfId="2" priority="3" operator="between" text="错误">
      <formula>NOT(ISERROR(SEARCH("错误",F5)))</formula>
    </cfRule>
  </conditionalFormatting>
  <dataValidations count="1">
    <dataValidation type="list" sqref="A5:A24">
      <formula1>"building.player_home,building.residential_house,building.lumber_cabin,building.fishing_hut,building.farm_field,building.market,building.warehouse,building.road,building.tree"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showGridLines="0" topLeftCell="A6" workbookViewId="0">
      <selection activeCell="A1" sqref="A1:E1"/>
    </sheetView>
  </sheetViews>
  <sheetFormatPr defaultColWidth="9" defaultRowHeight="14" outlineLevelCol="4"/>
  <cols>
    <col min="1" max="1" width="16" customWidth="1"/>
    <col min="2" max="2" width="34" customWidth="1"/>
    <col min="3" max="3" width="28" customWidth="1"/>
    <col min="4" max="4" width="40" customWidth="1"/>
    <col min="5" max="5" width="12" customWidth="1"/>
  </cols>
  <sheetData>
    <row r="1" ht="30" customHeight="1" spans="1:5">
      <c r="A1" s="1" t="s">
        <v>251</v>
      </c>
      <c r="B1" s="1"/>
      <c r="C1" s="1"/>
      <c r="D1" s="1"/>
      <c r="E1" s="1"/>
    </row>
    <row r="2" ht="38" customHeight="1" spans="1:5">
      <c r="A2" s="2" t="s">
        <v>252</v>
      </c>
      <c r="B2" s="2"/>
      <c r="C2" s="2"/>
      <c r="D2" s="2"/>
      <c r="E2" s="2"/>
    </row>
    <row r="3" spans="1:5">
      <c r="A3" s="3"/>
      <c r="B3" s="3"/>
      <c r="C3" s="3"/>
      <c r="D3" s="3"/>
      <c r="E3" s="3"/>
    </row>
    <row r="4" ht="30" customHeight="1" spans="1:5">
      <c r="A4" s="4" t="s">
        <v>253</v>
      </c>
      <c r="B4" s="5" t="s">
        <v>254</v>
      </c>
      <c r="C4" s="5" t="s">
        <v>255</v>
      </c>
      <c r="D4" s="5" t="s">
        <v>256</v>
      </c>
      <c r="E4" s="6" t="s">
        <v>257</v>
      </c>
    </row>
    <row r="5" spans="1:5">
      <c r="A5" s="7" t="s">
        <v>258</v>
      </c>
      <c r="B5" s="7" t="s">
        <v>63</v>
      </c>
      <c r="C5" s="7" t="s">
        <v>259</v>
      </c>
      <c r="D5" s="7" t="s">
        <v>260</v>
      </c>
      <c r="E5" s="7" t="s">
        <v>59</v>
      </c>
    </row>
    <row r="6" spans="1:5">
      <c r="A6" s="11" t="s">
        <v>258</v>
      </c>
      <c r="B6" s="11" t="s">
        <v>71</v>
      </c>
      <c r="C6" s="11" t="s">
        <v>261</v>
      </c>
      <c r="D6" s="11" t="s">
        <v>262</v>
      </c>
      <c r="E6" s="11" t="s">
        <v>59</v>
      </c>
    </row>
    <row r="7" spans="1:5">
      <c r="A7" s="11" t="s">
        <v>258</v>
      </c>
      <c r="B7" s="11" t="s">
        <v>67</v>
      </c>
      <c r="C7" s="11" t="s">
        <v>263</v>
      </c>
      <c r="D7" s="11" t="s">
        <v>264</v>
      </c>
      <c r="E7" s="11" t="s">
        <v>59</v>
      </c>
    </row>
    <row r="8" spans="1:5">
      <c r="A8" s="11" t="s">
        <v>258</v>
      </c>
      <c r="B8" s="11" t="s">
        <v>78</v>
      </c>
      <c r="C8" s="11" t="s">
        <v>265</v>
      </c>
      <c r="D8" s="11" t="s">
        <v>266</v>
      </c>
      <c r="E8" s="11" t="s">
        <v>59</v>
      </c>
    </row>
    <row r="9" spans="1:5">
      <c r="A9" s="11" t="s">
        <v>258</v>
      </c>
      <c r="B9" s="11" t="s">
        <v>267</v>
      </c>
      <c r="C9" s="11" t="s">
        <v>268</v>
      </c>
      <c r="D9" s="11" t="s">
        <v>269</v>
      </c>
      <c r="E9" s="11" t="s">
        <v>59</v>
      </c>
    </row>
    <row r="10" spans="1:5">
      <c r="A10" s="11" t="s">
        <v>258</v>
      </c>
      <c r="B10" s="11" t="s">
        <v>56</v>
      </c>
      <c r="C10" s="11" t="s">
        <v>270</v>
      </c>
      <c r="D10" s="11" t="s">
        <v>271</v>
      </c>
      <c r="E10" s="11" t="s">
        <v>59</v>
      </c>
    </row>
    <row r="11" spans="1:5">
      <c r="A11" s="11" t="s">
        <v>258</v>
      </c>
      <c r="B11" s="11" t="s">
        <v>272</v>
      </c>
      <c r="C11" s="11" t="s">
        <v>273</v>
      </c>
      <c r="D11" s="11" t="s">
        <v>274</v>
      </c>
      <c r="E11" s="11" t="s">
        <v>59</v>
      </c>
    </row>
    <row r="12" spans="1:5">
      <c r="A12" s="11" t="s">
        <v>258</v>
      </c>
      <c r="B12" s="11" t="s">
        <v>86</v>
      </c>
      <c r="C12" s="11" t="s">
        <v>275</v>
      </c>
      <c r="D12" s="11" t="s">
        <v>276</v>
      </c>
      <c r="E12" s="11" t="s">
        <v>59</v>
      </c>
    </row>
    <row r="13" spans="1:5">
      <c r="A13" s="11" t="s">
        <v>258</v>
      </c>
      <c r="B13" s="11" t="s">
        <v>90</v>
      </c>
      <c r="C13" s="11" t="s">
        <v>277</v>
      </c>
      <c r="D13" s="11" t="s">
        <v>278</v>
      </c>
      <c r="E13" s="11" t="s">
        <v>59</v>
      </c>
    </row>
    <row r="14" spans="1:5">
      <c r="A14" s="11" t="s">
        <v>258</v>
      </c>
      <c r="B14" s="11" t="s">
        <v>279</v>
      </c>
      <c r="C14" s="11" t="s">
        <v>280</v>
      </c>
      <c r="D14" s="11" t="s">
        <v>281</v>
      </c>
      <c r="E14" s="11" t="s">
        <v>59</v>
      </c>
    </row>
    <row r="15" spans="1:5">
      <c r="A15" s="11" t="s">
        <v>282</v>
      </c>
      <c r="B15" s="11" t="s">
        <v>95</v>
      </c>
      <c r="C15" s="11" t="s">
        <v>95</v>
      </c>
      <c r="D15" s="11" t="s">
        <v>283</v>
      </c>
      <c r="E15" s="11" t="s">
        <v>59</v>
      </c>
    </row>
    <row r="16" spans="1:5">
      <c r="A16" s="11" t="s">
        <v>282</v>
      </c>
      <c r="B16" s="11" t="s">
        <v>104</v>
      </c>
      <c r="C16" s="11" t="s">
        <v>104</v>
      </c>
      <c r="D16" s="11" t="s">
        <v>283</v>
      </c>
      <c r="E16" s="11" t="s">
        <v>59</v>
      </c>
    </row>
    <row r="17" spans="1:5">
      <c r="A17" s="11" t="s">
        <v>282</v>
      </c>
      <c r="B17" s="11" t="s">
        <v>97</v>
      </c>
      <c r="C17" s="11" t="s">
        <v>97</v>
      </c>
      <c r="D17" s="11" t="s">
        <v>283</v>
      </c>
      <c r="E17" s="11" t="s">
        <v>59</v>
      </c>
    </row>
    <row r="18" spans="1:5">
      <c r="A18" s="11" t="s">
        <v>282</v>
      </c>
      <c r="B18" s="11" t="s">
        <v>98</v>
      </c>
      <c r="C18" s="11" t="s">
        <v>98</v>
      </c>
      <c r="D18" s="11" t="s">
        <v>283</v>
      </c>
      <c r="E18" s="11" t="s">
        <v>59</v>
      </c>
    </row>
    <row r="19" spans="1:5">
      <c r="A19" s="11" t="s">
        <v>282</v>
      </c>
      <c r="B19" s="11" t="s">
        <v>284</v>
      </c>
      <c r="C19" s="11" t="s">
        <v>284</v>
      </c>
      <c r="D19" s="11" t="s">
        <v>283</v>
      </c>
      <c r="E19" s="11" t="s">
        <v>59</v>
      </c>
    </row>
    <row r="20" spans="1:5">
      <c r="A20" s="11" t="s">
        <v>282</v>
      </c>
      <c r="B20" s="11" t="s">
        <v>100</v>
      </c>
      <c r="C20" s="11" t="s">
        <v>100</v>
      </c>
      <c r="D20" s="11" t="s">
        <v>283</v>
      </c>
      <c r="E20" s="11" t="s">
        <v>59</v>
      </c>
    </row>
    <row r="21" spans="1:5">
      <c r="A21" s="11" t="s">
        <v>282</v>
      </c>
      <c r="B21" s="11" t="s">
        <v>148</v>
      </c>
      <c r="C21" s="11" t="s">
        <v>148</v>
      </c>
      <c r="D21" s="11" t="s">
        <v>283</v>
      </c>
      <c r="E21" s="11" t="s">
        <v>59</v>
      </c>
    </row>
    <row r="22" spans="1:5">
      <c r="A22" s="11" t="s">
        <v>282</v>
      </c>
      <c r="B22" s="11" t="s">
        <v>165</v>
      </c>
      <c r="C22" s="11" t="s">
        <v>165</v>
      </c>
      <c r="D22" s="11" t="s">
        <v>283</v>
      </c>
      <c r="E22" s="11" t="s">
        <v>59</v>
      </c>
    </row>
    <row r="23" spans="1:5">
      <c r="A23" s="11" t="s">
        <v>282</v>
      </c>
      <c r="B23" s="11" t="s">
        <v>171</v>
      </c>
      <c r="C23" s="11" t="s">
        <v>171</v>
      </c>
      <c r="D23" s="11" t="s">
        <v>283</v>
      </c>
      <c r="E23" s="11" t="s">
        <v>59</v>
      </c>
    </row>
    <row r="24" spans="1:5">
      <c r="A24" s="11" t="s">
        <v>285</v>
      </c>
      <c r="B24" s="11" t="s">
        <v>115</v>
      </c>
      <c r="C24" s="11" t="s">
        <v>286</v>
      </c>
      <c r="D24" s="11" t="s">
        <v>287</v>
      </c>
      <c r="E24" s="11" t="s">
        <v>59</v>
      </c>
    </row>
    <row r="25" spans="1:5">
      <c r="A25" s="11" t="s">
        <v>285</v>
      </c>
      <c r="B25" s="11" t="s">
        <v>288</v>
      </c>
      <c r="C25" s="11" t="s">
        <v>289</v>
      </c>
      <c r="D25" s="11" t="s">
        <v>290</v>
      </c>
      <c r="E25" s="11" t="s">
        <v>59</v>
      </c>
    </row>
    <row r="26" spans="1:5">
      <c r="A26" s="11" t="s">
        <v>285</v>
      </c>
      <c r="B26" s="11" t="s">
        <v>119</v>
      </c>
      <c r="C26" s="11" t="s">
        <v>291</v>
      </c>
      <c r="D26" s="11" t="s">
        <v>292</v>
      </c>
      <c r="E26" s="11" t="s">
        <v>59</v>
      </c>
    </row>
    <row r="27" spans="1:5">
      <c r="A27" s="11" t="s">
        <v>293</v>
      </c>
      <c r="B27" s="11" t="s">
        <v>294</v>
      </c>
      <c r="C27" s="11" t="s">
        <v>295</v>
      </c>
      <c r="D27" s="11" t="s">
        <v>296</v>
      </c>
      <c r="E27" s="11" t="s">
        <v>59</v>
      </c>
    </row>
    <row r="28" spans="1:5">
      <c r="A28" s="11" t="s">
        <v>297</v>
      </c>
      <c r="B28" s="11" t="s">
        <v>212</v>
      </c>
      <c r="C28" s="11" t="s">
        <v>298</v>
      </c>
      <c r="D28" s="11" t="s">
        <v>299</v>
      </c>
      <c r="E28" s="11" t="s">
        <v>59</v>
      </c>
    </row>
    <row r="29" spans="1:5">
      <c r="A29" s="11" t="s">
        <v>297</v>
      </c>
      <c r="B29" s="11" t="s">
        <v>300</v>
      </c>
      <c r="C29" s="11" t="s">
        <v>301</v>
      </c>
      <c r="D29" s="11" t="s">
        <v>299</v>
      </c>
      <c r="E29" s="11" t="s">
        <v>59</v>
      </c>
    </row>
    <row r="30" spans="1:5">
      <c r="A30" s="11" t="s">
        <v>302</v>
      </c>
      <c r="B30" s="11" t="s">
        <v>213</v>
      </c>
      <c r="C30" s="11" t="s">
        <v>303</v>
      </c>
      <c r="D30" s="11" t="s">
        <v>304</v>
      </c>
      <c r="E30" s="11" t="s">
        <v>59</v>
      </c>
    </row>
    <row r="31" spans="1:5">
      <c r="A31" s="11" t="s">
        <v>302</v>
      </c>
      <c r="B31" s="11" t="s">
        <v>305</v>
      </c>
      <c r="C31" s="11" t="s">
        <v>306</v>
      </c>
      <c r="D31" s="11" t="s">
        <v>304</v>
      </c>
      <c r="E31" s="11" t="s">
        <v>59</v>
      </c>
    </row>
    <row r="32" spans="1:5">
      <c r="A32" s="11" t="s">
        <v>302</v>
      </c>
      <c r="B32" s="11" t="s">
        <v>307</v>
      </c>
      <c r="C32" s="11" t="s">
        <v>308</v>
      </c>
      <c r="D32" s="11" t="s">
        <v>304</v>
      </c>
      <c r="E32" s="11" t="s">
        <v>59</v>
      </c>
    </row>
    <row r="33" spans="1:5">
      <c r="A33" s="11" t="s">
        <v>309</v>
      </c>
      <c r="B33" s="11" t="s">
        <v>310</v>
      </c>
      <c r="C33" s="11" t="s">
        <v>311</v>
      </c>
      <c r="D33" s="11" t="s">
        <v>312</v>
      </c>
      <c r="E33" s="11" t="s">
        <v>59</v>
      </c>
    </row>
    <row r="34" spans="1:5">
      <c r="A34" s="11" t="s">
        <v>309</v>
      </c>
      <c r="B34" s="11" t="s">
        <v>313</v>
      </c>
      <c r="C34" s="11" t="s">
        <v>314</v>
      </c>
      <c r="D34" s="11" t="s">
        <v>312</v>
      </c>
      <c r="E34" s="11" t="s">
        <v>59</v>
      </c>
    </row>
    <row r="35" spans="1:5">
      <c r="A35" s="11" t="s">
        <v>309</v>
      </c>
      <c r="B35" s="11" t="s">
        <v>214</v>
      </c>
      <c r="C35" s="11" t="s">
        <v>315</v>
      </c>
      <c r="D35" s="11" t="s">
        <v>312</v>
      </c>
      <c r="E35" s="11" t="s">
        <v>59</v>
      </c>
    </row>
    <row r="36" spans="1:5">
      <c r="A36" s="11" t="s">
        <v>316</v>
      </c>
      <c r="B36" s="11" t="s">
        <v>229</v>
      </c>
      <c r="C36" s="11" t="s">
        <v>317</v>
      </c>
      <c r="D36" s="11" t="s">
        <v>318</v>
      </c>
      <c r="E36" s="11" t="s">
        <v>57</v>
      </c>
    </row>
    <row r="37" spans="1:5">
      <c r="A37" s="11" t="s">
        <v>316</v>
      </c>
      <c r="B37" s="11" t="s">
        <v>319</v>
      </c>
      <c r="C37" s="11" t="s">
        <v>320</v>
      </c>
      <c r="D37" s="11" t="s">
        <v>321</v>
      </c>
      <c r="E37" s="11" t="s">
        <v>57</v>
      </c>
    </row>
    <row r="38" spans="1:5">
      <c r="A38" s="11" t="s">
        <v>322</v>
      </c>
      <c r="B38" s="11" t="s">
        <v>323</v>
      </c>
      <c r="C38" s="11" t="s">
        <v>324</v>
      </c>
      <c r="D38" s="11" t="s">
        <v>325</v>
      </c>
      <c r="E38" s="11" t="s">
        <v>57</v>
      </c>
    </row>
    <row r="39" spans="1:5">
      <c r="A39" s="11" t="s">
        <v>322</v>
      </c>
      <c r="B39" s="11" t="s">
        <v>326</v>
      </c>
      <c r="C39" s="11" t="s">
        <v>327</v>
      </c>
      <c r="D39" s="11" t="s">
        <v>328</v>
      </c>
      <c r="E39" s="11" t="s">
        <v>57</v>
      </c>
    </row>
  </sheetData>
  <mergeCells count="2">
    <mergeCell ref="A1:E1"/>
    <mergeCell ref="A2:E2"/>
  </mergeCells>
  <pageMargins left="0.7" right="0.7" top="0.75" bottom="0.75" header="0.3" footer="0.3"/>
  <headerFooter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workbookViewId="0">
      <selection activeCell="A1" sqref="A1:E1"/>
    </sheetView>
  </sheetViews>
  <sheetFormatPr defaultColWidth="9" defaultRowHeight="14" outlineLevelCol="4"/>
  <cols>
    <col min="1" max="1" width="28" customWidth="1"/>
    <col min="2" max="2" width="16" customWidth="1"/>
    <col min="3" max="4" width="18" customWidth="1"/>
    <col min="5" max="5" width="48" customWidth="1"/>
  </cols>
  <sheetData>
    <row r="1" ht="30" customHeight="1" spans="1:5">
      <c r="A1" s="1" t="s">
        <v>329</v>
      </c>
      <c r="B1" s="1"/>
      <c r="C1" s="1"/>
      <c r="D1" s="1"/>
      <c r="E1" s="1"/>
    </row>
    <row r="2" ht="38" customHeight="1" spans="1:5">
      <c r="A2" s="2" t="s">
        <v>330</v>
      </c>
      <c r="B2" s="2"/>
      <c r="C2" s="2"/>
      <c r="D2" s="2"/>
      <c r="E2" s="2"/>
    </row>
    <row r="3" spans="1:5">
      <c r="A3" s="3"/>
      <c r="B3" s="3"/>
      <c r="C3" s="3"/>
      <c r="D3" s="3"/>
      <c r="E3" s="3"/>
    </row>
    <row r="4" ht="30" customHeight="1" spans="1:5">
      <c r="A4" s="4" t="s">
        <v>331</v>
      </c>
      <c r="B4" s="5" t="s">
        <v>332</v>
      </c>
      <c r="C4" s="5" t="s">
        <v>333</v>
      </c>
      <c r="D4" s="5" t="s">
        <v>334</v>
      </c>
      <c r="E4" s="6" t="s">
        <v>53</v>
      </c>
    </row>
    <row r="5" spans="1:5">
      <c r="A5" s="7" t="s">
        <v>335</v>
      </c>
      <c r="B5" s="8">
        <f>COUNTA(建筑家族!A5:A24)</f>
        <v>9</v>
      </c>
      <c r="C5" s="9">
        <v>9</v>
      </c>
      <c r="D5" s="10" t="str">
        <f t="shared" ref="D5:D11" si="0">IF(B5=C5,"通过","待检查")</f>
        <v>通过</v>
      </c>
      <c r="E5" s="7" t="s">
        <v>336</v>
      </c>
    </row>
    <row r="6" spans="1:5">
      <c r="A6" s="11" t="s">
        <v>337</v>
      </c>
      <c r="B6" s="12">
        <f>COUNTA(运营等级!A5:A24)</f>
        <v>19</v>
      </c>
      <c r="C6" s="13">
        <v>19</v>
      </c>
      <c r="D6" s="14" t="str">
        <f t="shared" si="0"/>
        <v>通过</v>
      </c>
      <c r="E6" s="11" t="s">
        <v>338</v>
      </c>
    </row>
    <row r="7" spans="1:5">
      <c r="A7" s="11" t="s">
        <v>339</v>
      </c>
      <c r="B7" s="12">
        <f>COUNTA(等级_生产!A5:A24)</f>
        <v>9</v>
      </c>
      <c r="C7" s="13">
        <v>9</v>
      </c>
      <c r="D7" s="14" t="str">
        <f t="shared" si="0"/>
        <v>通过</v>
      </c>
      <c r="E7" s="11" t="s">
        <v>340</v>
      </c>
    </row>
    <row r="8" spans="1:5">
      <c r="A8" s="11" t="s">
        <v>341</v>
      </c>
      <c r="B8" s="12">
        <f>COUNTA(模块_范围效果!A5:A24)</f>
        <v>1</v>
      </c>
      <c r="C8" s="13">
        <v>1</v>
      </c>
      <c r="D8" s="14" t="str">
        <f t="shared" si="0"/>
        <v>通过</v>
      </c>
      <c r="E8" s="11" t="s">
        <v>342</v>
      </c>
    </row>
    <row r="9" spans="1:5">
      <c r="A9" s="11" t="s">
        <v>343</v>
      </c>
      <c r="B9" s="12">
        <f>COUNTA(等级_仓库!A5:A24)</f>
        <v>3</v>
      </c>
      <c r="C9" s="13">
        <v>3</v>
      </c>
      <c r="D9" s="14" t="str">
        <f t="shared" si="0"/>
        <v>通过</v>
      </c>
      <c r="E9" s="11" t="s">
        <v>344</v>
      </c>
    </row>
    <row r="10" spans="1:5">
      <c r="A10" s="11" t="s">
        <v>345</v>
      </c>
      <c r="B10" s="12">
        <f>COUNTIF(视觉样式!F5:F24,"待回填")</f>
        <v>8</v>
      </c>
      <c r="C10" s="13">
        <v>0</v>
      </c>
      <c r="D10" s="14" t="str">
        <f t="shared" si="0"/>
        <v>待检查</v>
      </c>
      <c r="E10" s="11" t="s">
        <v>346</v>
      </c>
    </row>
    <row r="11" spans="1:5">
      <c r="A11" s="11" t="s">
        <v>2</v>
      </c>
      <c r="B11" s="12">
        <f>说明!B4</f>
        <v>4</v>
      </c>
      <c r="C11" s="13">
        <v>4</v>
      </c>
      <c r="D11" s="14" t="str">
        <f t="shared" si="0"/>
        <v>通过</v>
      </c>
      <c r="E11" s="11" t="s">
        <v>347</v>
      </c>
    </row>
  </sheetData>
  <mergeCells count="2">
    <mergeCell ref="A1:E1"/>
    <mergeCell ref="A2:E2"/>
  </mergeCells>
  <conditionalFormatting sqref="D5:D11">
    <cfRule type="containsText" dxfId="0" priority="1" operator="between" text="通过">
      <formula>NOT(ISERROR(SEARCH("通过",D5)))</formula>
    </cfRule>
    <cfRule type="containsText" dxfId="1" priority="2" operator="between" text="待">
      <formula>NOT(ISERROR(SEARCH("待",D5)))</formula>
    </cfRule>
    <cfRule type="containsText" dxfId="2" priority="3" operator="between" text="错误">
      <formula>NOT(ISERROR(SEARCH("错误",D5)))</formula>
    </cfRule>
  </conditionalFormatting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说明</vt:lpstr>
      <vt:lpstr>建筑家族</vt:lpstr>
      <vt:lpstr>放置消耗</vt:lpstr>
      <vt:lpstr>施工消耗</vt:lpstr>
      <vt:lpstr>运营等级</vt:lpstr>
      <vt:lpstr>升级消耗</vt:lpstr>
      <vt:lpstr>等级_固定人口</vt:lpstr>
      <vt:lpstr>等级_库存容量</vt:lpstr>
      <vt:lpstr>等级_科技点</vt:lpstr>
      <vt:lpstr>等级_住宅</vt:lpstr>
      <vt:lpstr>等级_岗位</vt:lpstr>
      <vt:lpstr>等级_生产</vt:lpstr>
      <vt:lpstr>等级_捕鱼稀有</vt:lpstr>
      <vt:lpstr>等级_仓库</vt:lpstr>
      <vt:lpstr>模块_市场</vt:lpstr>
      <vt:lpstr>模块_树木</vt:lpstr>
      <vt:lpstr>模块_范围效果</vt:lpstr>
      <vt:lpstr>模块_作物</vt:lpstr>
      <vt:lpstr>作物_种植消耗</vt:lpstr>
      <vt:lpstr>作物_收获产出</vt:lpstr>
      <vt:lpstr>作物_自动收获</vt:lpstr>
      <vt:lpstr>视觉样式</vt:lpstr>
      <vt:lpstr>数据字典</vt:lpstr>
      <vt:lpstr>汇总检查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</cp:lastModifiedBy>
  <dcterms:created xsi:type="dcterms:W3CDTF">2026-07-15T07:11:00Z</dcterms:created>
  <dcterms:modified xsi:type="dcterms:W3CDTF">2026-07-15T07:26:27Z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82420BEE24F04CAD9ECD72D26CE6F58A_12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