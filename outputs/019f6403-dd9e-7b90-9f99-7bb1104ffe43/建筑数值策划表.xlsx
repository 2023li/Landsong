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7.xml" ContentType="application/vnd.openxmlformats-officedocument.spreadsheetml.table+xml"/>
  <Override PartName="/xl/worksheets/sheet23.xml" ContentType="application/vnd.openxmlformats-officedocument.spreadsheetml.worksheet+xml"/>
  <Override PartName="/xl/tables/table18.xml" ContentType="application/vnd.openxmlformats-officedocument.spreadsheetml.table+xml"/>
  <Override PartName="/xl/worksheets/sheet24.xml" ContentType="application/vnd.openxmlformats-officedocument.spreadsheetml.worksheet+xml"/>
  <Override PartName="/xl/tables/table19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93391eea5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58c1c17cce449b2"/>
    <x:sheet xmlns:r="http://schemas.openxmlformats.org/officeDocument/2006/relationships" name="建筑家族" sheetId="2" r:id="Rc2690a4330de42aa"/>
    <x:sheet xmlns:r="http://schemas.openxmlformats.org/officeDocument/2006/relationships" name="放置消耗" sheetId="3" r:id="R73fbe76105a24904"/>
    <x:sheet xmlns:r="http://schemas.openxmlformats.org/officeDocument/2006/relationships" name="施工消耗" sheetId="4" r:id="R6bcaa513d69f4e5e"/>
    <x:sheet xmlns:r="http://schemas.openxmlformats.org/officeDocument/2006/relationships" name="运营等级" sheetId="5" r:id="Rce20adcc6ed34f67"/>
    <x:sheet xmlns:r="http://schemas.openxmlformats.org/officeDocument/2006/relationships" name="升级消耗" sheetId="6" r:id="Rff35394557d34f8c"/>
    <x:sheet xmlns:r="http://schemas.openxmlformats.org/officeDocument/2006/relationships" name="等级_固定人口" sheetId="7" r:id="Rdfc87841b92349a0"/>
    <x:sheet xmlns:r="http://schemas.openxmlformats.org/officeDocument/2006/relationships" name="等级_库存容量" sheetId="8" r:id="Rfbe7c6bd95744ebf"/>
    <x:sheet xmlns:r="http://schemas.openxmlformats.org/officeDocument/2006/relationships" name="等级_科技点" sheetId="9" r:id="Rbd0a4ac5a5b34252"/>
    <x:sheet xmlns:r="http://schemas.openxmlformats.org/officeDocument/2006/relationships" name="等级_住宅" sheetId="10" r:id="R1e0f9f8940d94e52"/>
    <x:sheet xmlns:r="http://schemas.openxmlformats.org/officeDocument/2006/relationships" name="等级_岗位" sheetId="11" r:id="Rfa9a482e82f34229"/>
    <x:sheet xmlns:r="http://schemas.openxmlformats.org/officeDocument/2006/relationships" name="等级_生产" sheetId="12" r:id="R3aab584ae89648f0"/>
    <x:sheet xmlns:r="http://schemas.openxmlformats.org/officeDocument/2006/relationships" name="等级_捕鱼稀有" sheetId="13" r:id="R4fd0ee5244af4eb9"/>
    <x:sheet xmlns:r="http://schemas.openxmlformats.org/officeDocument/2006/relationships" name="等级_仓库" sheetId="14" r:id="R3c1fb0c7c9e746f4"/>
    <x:sheet xmlns:r="http://schemas.openxmlformats.org/officeDocument/2006/relationships" name="模块_市场" sheetId="15" r:id="R2d2c90e3b80344af"/>
    <x:sheet xmlns:r="http://schemas.openxmlformats.org/officeDocument/2006/relationships" name="模块_树木" sheetId="16" r:id="R913a562d4fd54879"/>
    <x:sheet xmlns:r="http://schemas.openxmlformats.org/officeDocument/2006/relationships" name="模块_范围效果" sheetId="17" r:id="R0dbf6c075fd74885"/>
    <x:sheet xmlns:r="http://schemas.openxmlformats.org/officeDocument/2006/relationships" name="模块_作物" sheetId="18" r:id="R3243ab7fea25417e"/>
    <x:sheet xmlns:r="http://schemas.openxmlformats.org/officeDocument/2006/relationships" name="作物_种植消耗" sheetId="19" r:id="R2a95f0013821422f"/>
    <x:sheet xmlns:r="http://schemas.openxmlformats.org/officeDocument/2006/relationships" name="作物_收获产出" sheetId="20" r:id="Ra2f7a28a4f6843a2"/>
    <x:sheet xmlns:r="http://schemas.openxmlformats.org/officeDocument/2006/relationships" name="作物_自动收获" sheetId="21" r:id="Radf554d21e92439d"/>
    <x:sheet xmlns:r="http://schemas.openxmlformats.org/officeDocument/2006/relationships" name="视觉样式" sheetId="22" r:id="R71c891255ace4b66"/>
    <x:sheet xmlns:r="http://schemas.openxmlformats.org/officeDocument/2006/relationships" name="数据字典" sheetId="23" r:id="Rcfd33b659cc849cd"/>
    <x:sheet xmlns:r="http://schemas.openxmlformats.org/officeDocument/2006/relationships" name="汇总检查" sheetId="24" r:id="Rf2627bcd5ea3466e"/>
    <x:sheet xmlns:r="http://schemas.openxmlformats.org/officeDocument/2006/relationships" name="施工产出" sheetId="25" r:id="Rd54e065bb9b34095"/>
    <x:sheet xmlns:r="http://schemas.openxmlformats.org/officeDocument/2006/relationships" name="等级_维护费" sheetId="26" r:id="R499f164666f641bd"/>
    <x:sheet xmlns:r="http://schemas.openxmlformats.org/officeDocument/2006/relationships" name="科技_全局生产Buff" sheetId="27" r:id="R24cf944cecc541f8"/>
    <x:sheet xmlns:r="http://schemas.openxmlformats.org/officeDocument/2006/relationships" name="等级_运营经验" sheetId="28" r:id="R07d404b8dba34b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"/>
    <x:numFmt numFmtId="165" formatCode="0.000"/>
    <x:numFmt numFmtId="166" formatCode="0.0%"/>
    <x:numFmt numFmtId="200" formatCode="0"/>
  </x:numFmts>
  <x:fonts count="30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1"/>
      <x:color rgb="FF1F2937"/>
      <x:name val="宋体"/>
    </x:font>
    <x:font>
      <x:b/>
      <x:sz val="11"/>
      <x:color rgb="FF203864"/>
      <x:name val="Carlito"/>
    </x:font>
    <x:font>
      <x:b/>
      <x:sz val="11"/>
      <x:color rgb="FF4472C4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color rgb="FF375623"/>
      <x:name val="Carlito"/>
    </x:font>
    <x:font>
      <x:b/>
      <x:sz val="10"/>
      <x:color rgb="FF1F2937"/>
      <x:name val="Carlito"/>
    </x:font>
  </x:fonts>
  <x:fills count="63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7F9F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203864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203864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203864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203864"/>
      </x:patternFill>
    </x:fill>
    <x:fill>
      <x:patternFill patternType="solid">
        <x:fgColor rgb="FFE2F0D9"/>
      </x:patternFill>
    </x:fill>
    <x:fill>
      <x:patternFill patternType="solid">
        <x:fgColor rgb="FF203864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8">
    <x:border/>
    <x:border>
      <x:left style="thin">
        <x:color rgb="FF203864"/>
      </x:left>
      <x:top style="thin">
        <x:color rgb="FF203864"/>
      </x:top>
      <x:bottom style="thin">
        <x:color rgb="FF203864"/>
      </x:bottom>
    </x:border>
    <x:border>
      <x:top style="thin">
        <x:color rgb="FF203864"/>
      </x:top>
      <x:bottom style="thin">
        <x:color rgb="FF203864"/>
      </x:bottom>
    </x:border>
    <x:border>
      <x:right style="thin">
        <x:color rgb="FF203864"/>
      </x:right>
      <x:top style="thin">
        <x:color rgb="FF203864"/>
      </x:top>
      <x:bottom style="thin">
        <x:color rgb="FF203864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right style="thin">
        <x:color rgb="FFD9E2F3"/>
      </x:right>
    </x:border>
    <x:border>
      <x:top style="thin">
        <x:color rgb="FFD9E2F3"/>
      </x:top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203864"/>
      </x:left>
      <x:right style="thin">
        <x:color rgb="FF203864"/>
      </x:right>
      <x:top style="thin">
        <x:color rgb="FF203864"/>
      </x:top>
      <x:bottom style="thin">
        <x:color rgb="FF203864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50">
    <x:xf numFmtId="0" fontId="0" fillId="0" borderId="0" applyAlignment="1">
      <x:alignment vertical="center"/>
    </x:xf>
    <x:xf numFmtId="43" fontId="8" fillId="0" borderId="0" applyAlignment="1">
      <x:alignment vertical="center"/>
    </x:xf>
    <x:xf numFmtId="44" fontId="8" fillId="0" borderId="0" applyAlignment="1">
      <x:alignment vertical="center"/>
    </x:xf>
    <x:xf numFmtId="9" fontId="8" fillId="0" borderId="0" applyAlignment="1">
      <x:alignment vertical="center"/>
    </x:xf>
    <x:xf numFmtId="41" fontId="8" fillId="0" borderId="0" applyAlignment="1">
      <x:alignment vertical="center"/>
    </x:xf>
    <x:xf numFmtId="42" fontId="8" fillId="0" borderId="0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8" fillId="9" borderId="15" applyAlignment="1">
      <x:alignment vertical="center"/>
    </x:xf>
    <x:xf numFmtId="0" fontId="11" fillId="0" borderId="0" applyAlignment="1">
      <x:alignment vertical="center"/>
    </x:xf>
    <x:xf numFmtId="0" fontId="12" fillId="0" borderId="0" applyAlignment="1">
      <x:alignment vertical="center"/>
    </x:xf>
    <x:xf numFmtId="0" fontId="13" fillId="0" borderId="0" applyAlignment="1">
      <x:alignment vertical="center"/>
    </x:xf>
    <x:xf numFmtId="0" fontId="14" fillId="0" borderId="16" applyAlignment="1">
      <x:alignment vertical="center"/>
    </x:xf>
    <x:xf numFmtId="0" fontId="15" fillId="0" borderId="16" applyAlignment="1">
      <x:alignment vertical="center"/>
    </x:xf>
    <x:xf numFmtId="0" fontId="16" fillId="0" borderId="17" applyAlignment="1">
      <x:alignment vertical="center"/>
    </x:xf>
    <x:xf numFmtId="0" fontId="16" fillId="0" borderId="0" applyAlignment="1">
      <x:alignment vertical="center"/>
    </x:xf>
    <x:xf numFmtId="0" fontId="17" fillId="10" borderId="18" applyAlignment="1">
      <x:alignment vertical="center"/>
    </x:xf>
    <x:xf numFmtId="0" fontId="18" fillId="11" borderId="19" applyAlignment="1">
      <x:alignment vertical="center"/>
    </x:xf>
    <x:xf numFmtId="0" fontId="19" fillId="11" borderId="18" applyAlignment="1">
      <x:alignment vertical="center"/>
    </x:xf>
    <x:xf numFmtId="0" fontId="20" fillId="12" borderId="20" applyAlignment="1">
      <x:alignment vertical="center"/>
    </x:xf>
    <x:xf numFmtId="0" fontId="21" fillId="0" borderId="21" applyAlignment="1">
      <x:alignment vertical="center"/>
    </x:xf>
    <x:xf numFmtId="0" fontId="22" fillId="0" borderId="22" applyAlignment="1">
      <x:alignment vertical="center"/>
    </x:xf>
    <x:xf numFmtId="0" fontId="23" fillId="13" borderId="0" applyAlignment="1">
      <x:alignment vertical="center"/>
    </x:xf>
    <x:xf numFmtId="0" fontId="24" fillId="14" borderId="0" applyAlignment="1">
      <x:alignment vertical="center"/>
    </x:xf>
    <x:xf numFmtId="0" fontId="25" fillId="15" borderId="0" applyAlignment="1">
      <x:alignment vertical="center"/>
    </x:xf>
    <x:xf numFmtId="0" fontId="26" fillId="16" borderId="0" applyAlignment="1">
      <x:alignment vertical="center"/>
    </x:xf>
    <x:xf numFmtId="0" fontId="27" fillId="17" borderId="0" applyAlignment="1">
      <x:alignment vertical="center"/>
    </x:xf>
    <x:xf numFmtId="0" fontId="27" fillId="18" borderId="0" applyAlignment="1">
      <x:alignment vertical="center"/>
    </x:xf>
    <x:xf numFmtId="0" fontId="26" fillId="19" borderId="0" applyAlignment="1">
      <x:alignment vertical="center"/>
    </x:xf>
    <x:xf numFmtId="0" fontId="26" fillId="20" borderId="0" applyAlignment="1">
      <x:alignment vertical="center"/>
    </x:xf>
    <x:xf numFmtId="0" fontId="27" fillId="21" borderId="0" applyAlignment="1">
      <x:alignment vertical="center"/>
    </x:xf>
    <x:xf numFmtId="0" fontId="27" fillId="22" borderId="0" applyAlignment="1">
      <x:alignment vertical="center"/>
    </x:xf>
    <x:xf numFmtId="0" fontId="26" fillId="23" borderId="0" applyAlignment="1">
      <x:alignment vertical="center"/>
    </x:xf>
    <x:xf numFmtId="0" fontId="26" fillId="24" borderId="0" applyAlignment="1">
      <x:alignment vertical="center"/>
    </x:xf>
    <x:xf numFmtId="0" fontId="27" fillId="25" borderId="0" applyAlignment="1">
      <x:alignment vertical="center"/>
    </x:xf>
    <x:xf numFmtId="0" fontId="27" fillId="26" borderId="0" applyAlignment="1">
      <x:alignment vertical="center"/>
    </x:xf>
    <x:xf numFmtId="0" fontId="26" fillId="27" borderId="0" applyAlignment="1">
      <x:alignment vertical="center"/>
    </x:xf>
    <x:xf numFmtId="0" fontId="26" fillId="28" borderId="0" applyAlignment="1">
      <x:alignment vertical="center"/>
    </x:xf>
    <x:xf numFmtId="0" fontId="27" fillId="29" borderId="0" applyAlignment="1">
      <x:alignment vertical="center"/>
    </x:xf>
    <x:xf numFmtId="0" fontId="27" fillId="30" borderId="0" applyAlignment="1">
      <x:alignment vertical="center"/>
    </x:xf>
    <x:xf numFmtId="0" fontId="26" fillId="31" borderId="0" applyAlignment="1">
      <x:alignment vertical="center"/>
    </x:xf>
    <x:xf numFmtId="0" fontId="26" fillId="32" borderId="0" applyAlignment="1">
      <x:alignment vertical="center"/>
    </x:xf>
    <x:xf numFmtId="0" fontId="27" fillId="33" borderId="0" applyAlignment="1">
      <x:alignment vertical="center"/>
    </x:xf>
    <x:xf numFmtId="0" fontId="27" fillId="34" borderId="0" applyAlignment="1">
      <x:alignment vertical="center"/>
    </x:xf>
    <x:xf numFmtId="0" fontId="26" fillId="35" borderId="0" applyAlignment="1">
      <x:alignment vertical="center"/>
    </x:xf>
    <x:xf numFmtId="0" fontId="26" fillId="36" borderId="0" applyAlignment="1">
      <x:alignment vertical="center"/>
    </x:xf>
    <x:xf numFmtId="0" fontId="27" fillId="37" borderId="0" applyAlignment="1">
      <x:alignment vertical="center"/>
    </x:xf>
    <x:xf numFmtId="0" fontId="27" fillId="38" borderId="0" applyAlignment="1">
      <x:alignment vertical="center"/>
    </x:xf>
    <x:xf numFmtId="0" fontId="26" fillId="39" borderId="0" applyAlignment="1">
      <x:alignment vertical="center"/>
    </x:xf>
    <x:xf numFmtId="0" fontId="0" fillId="0" borderId="0"/>
  </x:cellStyleXfs>
  <x:cellXfs count="159">
    <x:xf numFmtId="0" fontId="0" fillId="0" borderId="0" xfId="49"/>
    <x:xf numFmtId="0" fontId="1" fillId="2" borderId="0" xfId="49" applyAlignment="1">
      <x:alignment vertical="center"/>
    </x:xf>
    <x:xf numFmtId="0" fontId="2" fillId="3" borderId="0" xfId="49" applyAlignment="1">
      <x:alignment vertical="center" wrapText="1"/>
    </x:xf>
    <x:xf numFmtId="0" fontId="0" fillId="0" borderId="0" xfId="49" applyAlignment="1">
      <x:alignment vertical="center"/>
    </x:xf>
    <x:xf numFmtId="0" fontId="3" fillId="4" borderId="1" xfId="49" applyAlignment="1">
      <x:alignment vertical="center" wrapText="1"/>
    </x:xf>
    <x:xf numFmtId="0" fontId="3" fillId="4" borderId="2" xfId="49" applyAlignment="1">
      <x:alignment vertical="center" wrapText="1"/>
    </x:xf>
    <x:xf numFmtId="0" fontId="3" fillId="4" borderId="3" xfId="49" applyAlignment="1">
      <x:alignment vertical="center" wrapText="1"/>
    </x:xf>
    <x:xf numFmtId="0" fontId="4" fillId="5" borderId="4" xfId="49" applyAlignment="1">
      <x:alignment vertical="center"/>
    </x:xf>
    <x:xf numFmtId="1" fontId="4" fillId="6" borderId="4" xfId="49" applyAlignment="1">
      <x:alignment vertical="center"/>
    </x:xf>
    <x:xf numFmtId="1" fontId="4" fillId="5" borderId="4" xfId="49" applyAlignment="1">
      <x:alignment vertical="center"/>
    </x:xf>
    <x:xf numFmtId="0" fontId="4" fillId="6" borderId="4" xfId="49" applyAlignment="1">
      <x:alignment vertical="center"/>
    </x:xf>
    <x:xf numFmtId="0" fontId="4" fillId="5" borderId="5" xfId="49" applyAlignment="1">
      <x:alignment vertical="center"/>
    </x:xf>
    <x:xf numFmtId="1" fontId="4" fillId="6" borderId="5" xfId="49" applyAlignment="1">
      <x:alignment vertical="center"/>
    </x:xf>
    <x:xf numFmtId="1" fontId="4" fillId="5" borderId="5" xfId="49" applyAlignment="1">
      <x:alignment vertical="center"/>
    </x:xf>
    <x:xf numFmtId="0" fontId="4" fillId="6" borderId="5" xfId="49" applyAlignment="1">
      <x:alignment vertical="center"/>
    </x:xf>
    <x:xf numFmtId="1" fontId="0" fillId="0" borderId="0" xfId="49" applyAlignment="1">
      <x:alignment vertical="center"/>
    </x:xf>
    <x:xf numFmtId="0" fontId="5" fillId="5" borderId="4" xfId="49" applyAlignment="1">
      <x:alignment vertical="center"/>
    </x:xf>
    <x:xf numFmtId="164" fontId="4" fillId="6" borderId="4" xfId="49" applyAlignment="1">
      <x:alignment vertical="center"/>
    </x:xf>
    <x:xf numFmtId="164" fontId="0" fillId="0" borderId="0" xfId="49" applyAlignment="1">
      <x:alignment vertical="center"/>
    </x:xf>
    <x:xf numFmtId="165" fontId="4" fillId="5" borderId="4" xfId="49" applyAlignment="1">
      <x:alignment vertical="center"/>
    </x:xf>
    <x:xf numFmtId="166" fontId="4" fillId="6" borderId="4" xfId="49" applyAlignment="1">
      <x:alignment vertical="center"/>
    </x:xf>
    <x:xf numFmtId="165" fontId="0" fillId="0" borderId="0" xfId="49" applyAlignment="1">
      <x:alignment vertical="center"/>
    </x:xf>
    <x:xf numFmtId="2" fontId="4" fillId="5" borderId="4" xfId="49" applyAlignment="1">
      <x:alignment vertical="center"/>
    </x:xf>
    <x:xf numFmtId="2" fontId="4" fillId="5" borderId="5" xfId="49" applyAlignment="1">
      <x:alignment vertical="center"/>
    </x:xf>
    <x:xf numFmtId="2" fontId="0" fillId="0" borderId="0" xfId="49" applyAlignment="1">
      <x:alignment vertical="center"/>
    </x:xf>
    <x:xf numFmtId="2" fontId="4" fillId="6" borderId="4" xfId="49" applyAlignment="1">
      <x:alignment vertical="center"/>
    </x:xf>
    <x:xf numFmtId="2" fontId="4" fillId="6" borderId="5" xfId="49" applyAlignment="1">
      <x:alignment vertical="center"/>
    </x:xf>
    <x:xf numFmtId="0" fontId="5" fillId="5" borderId="5" xfId="49" applyAlignment="1">
      <x:alignment vertical="center"/>
    </x:xf>
    <x:xf numFmtId="0" fontId="3" fillId="7" borderId="0" xfId="49" applyAlignment="1">
      <x:alignment vertical="center"/>
    </x:xf>
    <x:xf numFmtId="0" fontId="4" fillId="6" borderId="0" xfId="49" applyAlignment="1">
      <x:alignment vertical="center" wrapText="1"/>
    </x:xf>
    <x:xf numFmtId="0" fontId="3" fillId="4" borderId="0" xfId="49" applyAlignment="1">
      <x:alignment vertical="center"/>
    </x:xf>
    <x:xf numFmtId="0" fontId="6" fillId="3" borderId="6" xfId="49" applyAlignment="1">
      <x:alignment vertical="center" wrapText="1"/>
    </x:xf>
    <x:xf numFmtId="0" fontId="4" fillId="8" borderId="7" xfId="49" applyAlignment="1">
      <x:alignment vertical="center" wrapText="1"/>
    </x:xf>
    <x:xf numFmtId="0" fontId="4" fillId="8" borderId="8" xfId="49" applyAlignment="1">
      <x:alignment vertical="center" wrapText="1"/>
    </x:xf>
    <x:xf numFmtId="0" fontId="6" fillId="3" borderId="9" xfId="49" applyAlignment="1">
      <x:alignment vertical="center" wrapText="1"/>
    </x:xf>
    <x:xf numFmtId="0" fontId="4" fillId="8" borderId="10" xfId="49" applyAlignment="1">
      <x:alignment vertical="center" wrapText="1"/>
    </x:xf>
    <x:xf numFmtId="0" fontId="4" fillId="8" borderId="11" xfId="49" applyAlignment="1">
      <x:alignment vertical="center" wrapText="1"/>
    </x:xf>
    <x:xf numFmtId="0" fontId="6" fillId="3" borderId="12" xfId="49" applyAlignment="1">
      <x:alignment vertical="center" wrapText="1"/>
    </x:xf>
    <x:xf numFmtId="0" fontId="4" fillId="8" borderId="13" xfId="49" applyAlignment="1">
      <x:alignment vertical="center" wrapText="1"/>
    </x:xf>
    <x:xf numFmtId="0" fontId="4" fillId="8" borderId="14" xfId="49" applyAlignment="1">
      <x:alignment vertical="center" wrapText="1"/>
    </x:xf>
    <x:xf numFmtId="0" fontId="7" fillId="3" borderId="0" xfId="49" applyAlignment="1">
      <x:alignment horizontal="center" vertical="center" wrapText="1"/>
    </x:xf>
    <x:xf numFmtId="0" fontId="4" fillId="3" borderId="0" xfId="49" applyAlignment="1">
      <x:alignment vertical="center" wrapText="1"/>
    </x:xf>
    <x:xf numFmtId="0" fontId="0" fillId="0" borderId="0" xfId="0"/>
    <x:xf numFmtId="0" fontId="0" fillId="0" borderId="4" xfId="0"/>
    <x:xf numFmtId="0" fontId="0" fillId="0" borderId="6" xfId="0"/>
    <x:xf numFmtId="0" fontId="0" fillId="0" borderId="5" xfId="0"/>
    <x:xf numFmtId="0" fontId="0" fillId="0" borderId="9" xfId="0"/>
    <x:xf numFmtId="0" fontId="0" fillId="0" borderId="24" xfId="0"/>
    <x:xf numFmtId="0" fontId="0" fillId="0" borderId="12" xfId="0"/>
    <x:xf numFmtId="165" fontId="4" fillId="5" borderId="4" xfId="49" applyAlignment="1">
      <x:alignment vertical="center"/>
    </x:xf>
    <x:xf numFmtId="166" fontId="4" fillId="6" borderId="4" xfId="49" applyAlignment="1">
      <x:alignment vertical="center"/>
    </x:xf>
    <x:xf numFmtId="165" fontId="0" fillId="0" borderId="0" xfId="49" applyAlignment="1">
      <x:alignment vertical="center"/>
    </x:xf>
    <x:xf numFmtId="164" fontId="4" fillId="6" borderId="4" xfId="49" applyAlignment="1">
      <x:alignment vertical="center"/>
    </x:xf>
    <x:xf numFmtId="164" fontId="0" fillId="0" borderId="0" xfId="49" applyAlignment="1">
      <x:alignment vertical="center"/>
    </x:xf>
    <x:xf numFmtId="0" fontId="0" fillId="40" borderId="0" xfId="0" applyNumberFormat="1" applyFont="1" applyFill="1" applyBorder="1"/>
    <x:xf numFmtId="0" fontId="1" fillId="40" borderId="0" xfId="0" applyNumberFormat="1" applyFont="1" applyFill="1" applyBorder="1"/>
    <x:xf numFmtId="0" fontId="1" fillId="40" borderId="0" xfId="0" applyNumberFormat="1" applyFont="1" applyFill="1" applyBorder="1" applyAlignment="1">
      <x:alignment vertical="center"/>
    </x:xf>
    <x:xf numFmtId="0" fontId="0" fillId="41" borderId="0" xfId="0" applyNumberFormat="1" applyFont="1" applyFill="1" applyBorder="1"/>
    <x:xf numFmtId="0" fontId="28" fillId="41" borderId="0" xfId="0" applyNumberFormat="1" applyFont="1" applyFill="1" applyBorder="1"/>
    <x:xf numFmtId="0" fontId="28" fillId="41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/>
    <x:xf numFmtId="0" fontId="3" fillId="42" borderId="0" xfId="0" applyNumberFormat="1" applyFont="1" applyFill="1" applyBorder="1"/>
    <x:xf numFmtId="0" fontId="3" fillId="42" borderId="10" xfId="0" applyNumberFormat="1" applyFont="1" applyFill="1" applyBorder="1"/>
    <x:xf numFmtId="0" fontId="3" fillId="42" borderId="10" xfId="0" applyNumberFormat="1" applyFont="1" applyFill="1" applyBorder="1" applyAlignment="1">
      <x:alignment wrapText="1"/>
    </x:xf>
    <x:xf numFmtId="0" fontId="3" fillId="42" borderId="10" xfId="0" applyNumberFormat="1" applyFont="1" applyFill="1" applyBorder="1" applyAlignment="1">
      <x:alignment vertical="center" wrapText="1"/>
    </x:xf>
    <x:xf numFmtId="0" fontId="0" fillId="43" borderId="0" xfId="0" applyNumberFormat="1" applyFont="1" applyFill="1" applyBorder="1"/>
    <x:xf numFmtId="0" fontId="0" fillId="43" borderId="25" xfId="0" applyNumberFormat="1" applyFont="1" applyFill="1" applyBorder="1"/>
    <x:xf numFmtId="0" fontId="0" fillId="43" borderId="25" xfId="0" applyNumberFormat="1" applyFont="1" applyFill="1" applyBorder="1" applyAlignment="1">
      <x:alignment wrapText="1"/>
    </x:xf>
    <x:xf numFmtId="0" fontId="0" fillId="43" borderId="25" xfId="0" applyNumberFormat="1" applyFont="1" applyFill="1" applyBorder="1" applyAlignment="1">
      <x:alignment vertical="center" wrapText="1"/>
    </x:xf>
    <x:xf numFmtId="0" fontId="0" fillId="44" borderId="0" xfId="0" applyNumberFormat="1" applyFont="1" applyFill="1" applyBorder="1"/>
    <x:xf numFmtId="0" fontId="3" fillId="44" borderId="0" xfId="0" applyNumberFormat="1" applyFont="1" applyFill="1" applyBorder="1"/>
    <x:xf numFmtId="0" fontId="3" fillId="44" borderId="10" xfId="0" applyNumberFormat="1" applyFont="1" applyFill="1" applyBorder="1"/>
    <x:xf numFmtId="0" fontId="3" fillId="44" borderId="10" xfId="0" applyNumberFormat="1" applyFont="1" applyFill="1" applyBorder="1" applyAlignment="1">
      <x:alignment wrapText="1"/>
    </x:xf>
    <x:xf numFmtId="0" fontId="3" fillId="44" borderId="10" xfId="0" applyNumberFormat="1" applyFont="1" applyFill="1" applyBorder="1" applyAlignment="1">
      <x:alignment vertical="center" wrapText="1"/>
    </x:xf>
    <x:xf numFmtId="0" fontId="0" fillId="45" borderId="0" xfId="0" applyNumberFormat="1" applyFont="1" applyFill="1" applyBorder="1"/>
    <x:xf numFmtId="0" fontId="0" fillId="45" borderId="25" xfId="0" applyNumberFormat="1" applyFont="1" applyFill="1" applyBorder="1"/>
    <x:xf numFmtId="0" fontId="0" fillId="45" borderId="25" xfId="0" applyNumberFormat="1" applyFont="1" applyFill="1" applyBorder="1" applyAlignment="1">
      <x:alignment wrapText="1"/>
    </x:xf>
    <x:xf numFmtId="0" fontId="0" fillId="45" borderId="25" xfId="0" applyNumberFormat="1" applyFont="1" applyFill="1" applyBorder="1" applyAlignment="1">
      <x:alignment vertical="center" wrapText="1"/>
    </x:xf>
    <x:xf numFmtId="0" fontId="0" fillId="46" borderId="0" xfId="0" applyNumberFormat="1" applyFont="1" applyFill="1" applyBorder="1"/>
    <x:xf numFmtId="0" fontId="1" fillId="46" borderId="0" xfId="0" applyNumberFormat="1" applyFont="1" applyFill="1" applyBorder="1"/>
    <x:xf numFmtId="0" fontId="1" fillId="46" borderId="0" xfId="0" applyNumberFormat="1" applyFont="1" applyFill="1" applyBorder="1" applyAlignment="1">
      <x:alignment vertical="center"/>
    </x:xf>
    <x:xf numFmtId="0" fontId="0" fillId="47" borderId="0" xfId="0" applyNumberFormat="1" applyFont="1" applyFill="1" applyBorder="1"/>
    <x:xf numFmtId="0" fontId="28" fillId="47" borderId="0" xfId="0" applyNumberFormat="1" applyFont="1" applyFill="1" applyBorder="1"/>
    <x:xf numFmtId="0" fontId="28" fillId="47" borderId="0" xfId="0" applyNumberFormat="1" applyFont="1" applyFill="1" applyBorder="1" applyAlignment="1">
      <x:alignment wrapText="1"/>
    </x:xf>
    <x:xf numFmtId="0" fontId="3" fillId="48" borderId="10" xfId="0" applyNumberFormat="1" applyFont="1" applyFill="1" applyBorder="1" applyAlignment="1">
      <x:alignment vertical="center" wrapText="1"/>
    </x:xf>
    <x:xf numFmtId="0" fontId="0" fillId="49" borderId="25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/>
    <x:xf numFmtId="0" fontId="1" fillId="50" borderId="0" xfId="0" applyNumberFormat="1" applyFont="1" applyFill="1" applyBorder="1"/>
    <x:xf numFmtId="0" fontId="1" fillId="50" borderId="0" xfId="0" applyNumberFormat="1" applyFont="1" applyFill="1" applyBorder="1" applyAlignment="1">
      <x:alignment vertical="center"/>
    </x:xf>
    <x:xf numFmtId="0" fontId="0" fillId="51" borderId="0" xfId="0" applyNumberFormat="1" applyFont="1" applyFill="1" applyBorder="1"/>
    <x:xf numFmtId="0" fontId="28" fillId="51" borderId="0" xfId="0" applyNumberFormat="1" applyFont="1" applyFill="1" applyBorder="1"/>
    <x:xf numFmtId="0" fontId="28" fillId="51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3" fillId="48" borderId="0" xfId="0" applyNumberFormat="1" applyFont="1" applyFill="1" applyBorder="1"/>
    <x:xf numFmtId="0" fontId="3" fillId="48" borderId="10" xfId="0" applyNumberFormat="1" applyFont="1" applyFill="1" applyBorder="1"/>
    <x:xf numFmtId="0" fontId="3" fillId="48" borderId="10" xfId="0" applyNumberFormat="1" applyFont="1" applyFill="1" applyBorder="1" applyAlignment="1">
      <x:alignment wrapText="1"/>
    </x:xf>
    <x:xf numFmtId="0" fontId="0" fillId="49" borderId="0" xfId="0" applyNumberFormat="1" applyFont="1" applyFill="1" applyBorder="1"/>
    <x:xf numFmtId="0" fontId="0" fillId="49" borderId="25" xfId="0" applyNumberFormat="1" applyFont="1" applyFill="1" applyBorder="1"/>
    <x:xf numFmtId="0" fontId="0" fillId="49" borderId="25" xfId="0" applyNumberFormat="1" applyFont="1" applyFill="1" applyBorder="1" applyAlignment="1">
      <x:alignment wrapText="1"/>
    </x:xf>
    <x:xf numFmtId="0" fontId="3" fillId="52" borderId="10" xfId="0" applyNumberFormat="1" applyFont="1" applyFill="1" applyBorder="1" applyAlignment="1">
      <x:alignment vertical="center" wrapText="1"/>
    </x:xf>
    <x:xf numFmtId="0" fontId="0" fillId="53" borderId="25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/>
    <x:xf numFmtId="0" fontId="1" fillId="54" borderId="0" xfId="0" applyNumberFormat="1" applyFont="1" applyFill="1" applyBorder="1"/>
    <x:xf numFmtId="0" fontId="1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28" fillId="55" borderId="0" xfId="0" applyNumberFormat="1" applyFont="1" applyFill="1" applyBorder="1"/>
    <x:xf numFmtId="0" fontId="28" fillId="55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/>
    <x:xf numFmtId="0" fontId="3" fillId="52" borderId="0" xfId="0" applyNumberFormat="1" applyFont="1" applyFill="1" applyBorder="1"/>
    <x:xf numFmtId="0" fontId="3" fillId="52" borderId="10" xfId="0" applyNumberFormat="1" applyFont="1" applyFill="1" applyBorder="1"/>
    <x:xf numFmtId="0" fontId="3" fillId="52" borderId="1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0" fillId="53" borderId="25" xfId="0" applyNumberFormat="1" applyFont="1" applyFill="1" applyBorder="1"/>
    <x:xf numFmtId="0" fontId="0" fillId="53" borderId="25" xfId="0" applyNumberFormat="1" applyFont="1" applyFill="1" applyBorder="1" applyAlignment="1">
      <x:alignment wrapText="1"/>
    </x:xf>
    <x:xf numFmtId="0" fontId="0" fillId="56" borderId="0" xfId="0" applyNumberFormat="1" applyFont="1" applyFill="1" applyBorder="1"/>
    <x:xf numFmtId="0" fontId="1" fillId="56" borderId="0" xfId="0" applyNumberFormat="1" applyFont="1" applyFill="1" applyBorder="1"/>
    <x:xf numFmtId="0" fontId="0" fillId="57" borderId="0" xfId="0" applyNumberFormat="1" applyFont="1" applyFill="1" applyBorder="1"/>
    <x:xf numFmtId="0" fontId="2" fillId="57" borderId="0" xfId="0" applyNumberFormat="1" applyFont="1" applyFill="1" applyBorder="1"/>
    <x:xf numFmtId="0" fontId="2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3" fillId="58" borderId="0" xfId="0" applyNumberFormat="1" applyFont="1" applyFill="1" applyBorder="1"/>
    <x:xf numFmtId="0" fontId="3" fillId="58" borderId="26" xfId="0" applyNumberFormat="1" applyFont="1" applyFill="1" applyBorder="1"/>
    <x:xf numFmtId="0" fontId="3" fillId="58" borderId="26" xfId="0" applyNumberFormat="1" applyFont="1" applyFill="1" applyBorder="1" applyAlignment="1">
      <x:alignment wrapText="1"/>
    </x:xf>
    <x:xf numFmtId="0" fontId="0" fillId="59" borderId="0" xfId="0" applyNumberFormat="1" applyFont="1" applyFill="1" applyBorder="1"/>
    <x:xf numFmtId="0" fontId="2" fillId="59" borderId="0" xfId="0" applyNumberFormat="1" applyFont="1" applyFill="1" applyBorder="1"/>
    <x:xf numFmtId="0" fontId="2" fillId="59" borderId="27" xfId="0" applyNumberFormat="1" applyFont="1" applyFill="1" applyBorder="1"/>
    <x:xf numFmtId="0" fontId="2" fillId="59" borderId="27" xfId="0" applyNumberFormat="1" applyFont="1" applyFill="1" applyBorder="1" applyAlignment="1">
      <x:alignment wrapText="1"/>
    </x:xf>
    <x:xf numFmtId="0" fontId="2" fillId="59" borderId="27" xfId="0" applyNumberFormat="1" applyFont="1" applyFill="1" applyBorder="1" applyAlignment="1">
      <x:alignment vertical="center" wrapText="1"/>
    </x:xf>
    <x:xf numFmtId="0" fontId="2" fillId="60" borderId="27" xfId="0" applyNumberFormat="1" applyFont="1" applyFill="1" applyBorder="1" applyAlignment="1">
      <x:alignment vertical="center" wrapText="1"/>
    </x:xf>
    <x:xf numFmtId="0" fontId="2" fillId="59" borderId="27" xfId="0" applyNumberFormat="1" applyFont="1" applyFill="1" applyBorder="1" applyAlignment="1">
      <x:alignment horizontal="center" vertical="center" wrapText="1"/>
    </x:xf>
    <x:xf numFmtId="200" fontId="2" fillId="59" borderId="27" xfId="0" applyNumberFormat="1" applyFont="1" applyFill="1" applyBorder="1" applyAlignment="1">
      <x:alignment horizontal="center" vertical="center" wrapText="1"/>
    </x:xf>
    <x:xf numFmtId="0" fontId="1" fillId="60" borderId="0" xfId="0" applyNumberFormat="1" applyFont="1" applyFill="1" applyBorder="1"/>
    <x:xf numFmtId="0" fontId="2" fillId="60" borderId="0" xfId="0" applyNumberFormat="1" applyFont="1" applyFill="1" applyBorder="1" applyAlignment="1">
      <x:alignment wrapText="1"/>
    </x:xf>
    <x:xf numFmtId="0" fontId="0" fillId="60" borderId="0" xfId="0" applyNumberFormat="1" applyFont="1" applyFill="1" applyBorder="1"/>
    <x:xf numFmtId="0" fontId="3" fillId="60" borderId="26" xfId="0" applyNumberFormat="1" applyFont="1" applyFill="1" applyBorder="1" applyAlignment="1">
      <x:alignment wrapText="1"/>
    </x:xf>
    <x:xf numFmtId="0" fontId="29" fillId="60" borderId="0" xfId="0" applyNumberFormat="1" applyFont="1" applyFill="1" applyBorder="1"/>
    <x:xf numFmtId="0" fontId="2" fillId="60" borderId="0" xfId="0" applyNumberFormat="1" applyFont="1" applyFill="1" applyBorder="1"/>
    <x:xf numFmtId="0" fontId="29" fillId="60" borderId="26" xfId="0" applyNumberFormat="1" applyFont="1" applyFill="1" applyBorder="1" applyAlignment="1">
      <x:alignment wrapText="1"/>
    </x:xf>
    <x:xf numFmtId="0" fontId="29" fillId="60" borderId="27" xfId="0" applyNumberFormat="1" applyFont="1" applyFill="1" applyBorder="1"/>
    <x:xf numFmtId="0" fontId="2" fillId="60" borderId="27" xfId="0" applyNumberFormat="1" applyFont="1" applyFill="1" applyBorder="1" applyAlignment="1">
      <x:alignment wrapText="1"/>
    </x:xf>
    <x:xf numFmtId="0" fontId="2" fillId="60" borderId="27" xfId="0" applyNumberFormat="1" applyFont="1" applyFill="1" applyBorder="1"/>
    <x:xf numFmtId="0" fontId="29" fillId="60" borderId="27" xfId="0" applyNumberFormat="1" applyFont="1" applyFill="1" applyBorder="1" applyAlignment="1">
      <x:alignment wrapText="1"/>
    </x:xf>
    <x:xf numFmtId="0" fontId="29" fillId="60" borderId="27" xfId="0" applyNumberFormat="1" applyFont="1" applyFill="1" applyBorder="1" applyAlignment="1">
      <x:alignment vertical="center" wrapText="1"/>
    </x:xf>
    <x:xf numFmtId="0" fontId="0" fillId="61" borderId="0" xfId="0" applyNumberFormat="1" applyFont="1" applyFill="1" applyBorder="1" applyAlignment="1">
      <x:alignment vertical="center"/>
    </x:xf>
    <x:xf numFmtId="1" fontId="0" fillId="61" borderId="0" xfId="0" applyNumberFormat="1" applyFont="1" applyFill="1" applyBorder="1" applyAlignment="1">
      <x:alignment vertical="center"/>
    </x:xf>
    <x:xf numFmtId="0" fontId="0" fillId="61" borderId="25" xfId="0" applyNumberFormat="1" applyFont="1" applyFill="1" applyBorder="1" applyAlignment="1">
      <x:alignment vertical="center" wrapText="1"/>
    </x:xf>
    <x:xf numFmtId="0" fontId="0" fillId="61" borderId="27" xfId="0" applyNumberFormat="1" applyFont="1" applyFill="1" applyBorder="1" applyAlignment="1">
      <x:alignment vertical="center"/>
    </x:xf>
    <x:xf numFmtId="1" fontId="0" fillId="61" borderId="27" xfId="0" applyNumberFormat="1" applyFont="1" applyFill="1" applyBorder="1" applyAlignment="1">
      <x:alignment vertical="center"/>
    </x:xf>
    <x:xf numFmtId="0" fontId="0" fillId="61" borderId="27" xfId="0" applyNumberFormat="1" applyFont="1" applyFill="1" applyBorder="1" applyAlignment="1">
      <x:alignment vertical="center" wrapText="1"/>
    </x:xf>
    <x:xf numFmtId="1" fontId="0" fillId="61" borderId="27" xfId="0" applyNumberFormat="1" applyFont="1" applyFill="1" applyBorder="1" applyAlignment="1">
      <x:alignment vertical="center" wrapText="1"/>
    </x:xf>
    <x:xf numFmtId="0" fontId="0" fillId="61" borderId="0" xfId="0" applyNumberFormat="1" applyFont="1" applyFill="1" applyBorder="1"/>
    <x:xf numFmtId="0" fontId="0" fillId="61" borderId="27" xfId="0" applyNumberFormat="1" applyFont="1" applyFill="1" applyBorder="1"/>
    <x:xf numFmtId="0" fontId="0" fillId="61" borderId="27" xfId="0" applyNumberFormat="1" applyFont="1" applyFill="1" applyBorder="1" applyAlignment="1">
      <x:alignment wrapText="1"/>
    </x:xf>
    <x:xf numFmtId="0" fontId="0" fillId="62" borderId="0" xfId="0" applyNumberFormat="1" applyFont="1" applyFill="1" applyBorder="1" applyAlignment="1">
      <x:alignment vertical="center"/>
    </x:xf>
    <x:xf numFmtId="0" fontId="0" fillId="62" borderId="27" xfId="0" applyNumberFormat="1" applyFont="1" applyFill="1" applyBorder="1" applyAlignment="1">
      <x:alignment vertical="center"/>
    </x:xf>
    <x:xf numFmtId="0" fontId="0" fillId="62" borderId="27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/>
    <x:xf numFmtId="0" fontId="0" fillId="62" borderId="27" xfId="0" applyNumberFormat="1" applyFont="1" applyFill="1" applyBorder="1"/>
    <x:xf numFmtId="0" fontId="0" fillId="62" borderId="27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0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2f03f7c0e4672" /><Relationship Type="http://schemas.openxmlformats.org/officeDocument/2006/relationships/theme" Target="/xl/theme/theme1.xml" Id="Rc7c1cf1a559b4613" /><Relationship Type="http://schemas.openxmlformats.org/officeDocument/2006/relationships/sharedStrings" Target="/xl/sharedStrings.xml" Id="R3566315f8f57410a" /><Relationship Type="http://schemas.openxmlformats.org/officeDocument/2006/relationships/worksheet" Target="/xl/worksheets/sheet1.xml" Id="R158c1c17cce449b2" /><Relationship Type="http://schemas.openxmlformats.org/officeDocument/2006/relationships/worksheet" Target="/xl/worksheets/sheet2.xml" Id="Rc2690a4330de42aa" /><Relationship Type="http://schemas.openxmlformats.org/officeDocument/2006/relationships/worksheet" Target="/xl/worksheets/sheet3.xml" Id="R73fbe76105a24904" /><Relationship Type="http://schemas.openxmlformats.org/officeDocument/2006/relationships/worksheet" Target="/xl/worksheets/sheet4.xml" Id="R6bcaa513d69f4e5e" /><Relationship Type="http://schemas.openxmlformats.org/officeDocument/2006/relationships/worksheet" Target="/xl/worksheets/sheet5.xml" Id="Rce20adcc6ed34f67" /><Relationship Type="http://schemas.openxmlformats.org/officeDocument/2006/relationships/worksheet" Target="/xl/worksheets/sheet6.xml" Id="Rff35394557d34f8c" /><Relationship Type="http://schemas.openxmlformats.org/officeDocument/2006/relationships/worksheet" Target="/xl/worksheets/sheet7.xml" Id="Rdfc87841b92349a0" /><Relationship Type="http://schemas.openxmlformats.org/officeDocument/2006/relationships/worksheet" Target="/xl/worksheets/sheet8.xml" Id="Rfbe7c6bd95744ebf" /><Relationship Type="http://schemas.openxmlformats.org/officeDocument/2006/relationships/worksheet" Target="/xl/worksheets/sheet9.xml" Id="Rbd0a4ac5a5b34252" /><Relationship Type="http://schemas.openxmlformats.org/officeDocument/2006/relationships/worksheet" Target="/xl/worksheets/sheet10.xml" Id="R1e0f9f8940d94e52" /><Relationship Type="http://schemas.openxmlformats.org/officeDocument/2006/relationships/worksheet" Target="/xl/worksheets/sheet11.xml" Id="Rfa9a482e82f34229" /><Relationship Type="http://schemas.openxmlformats.org/officeDocument/2006/relationships/worksheet" Target="/xl/worksheets/sheet12.xml" Id="R3aab584ae89648f0" /><Relationship Type="http://schemas.openxmlformats.org/officeDocument/2006/relationships/worksheet" Target="/xl/worksheets/sheet13.xml" Id="R4fd0ee5244af4eb9" /><Relationship Type="http://schemas.openxmlformats.org/officeDocument/2006/relationships/worksheet" Target="/xl/worksheets/sheet14.xml" Id="R3c1fb0c7c9e746f4" /><Relationship Type="http://schemas.openxmlformats.org/officeDocument/2006/relationships/worksheet" Target="/xl/worksheets/sheet15.xml" Id="R2d2c90e3b80344af" /><Relationship Type="http://schemas.openxmlformats.org/officeDocument/2006/relationships/worksheet" Target="/xl/worksheets/sheet16.xml" Id="R913a562d4fd54879" /><Relationship Type="http://schemas.openxmlformats.org/officeDocument/2006/relationships/worksheet" Target="/xl/worksheets/sheet17.xml" Id="R0dbf6c075fd74885" /><Relationship Type="http://schemas.openxmlformats.org/officeDocument/2006/relationships/worksheet" Target="/xl/worksheets/sheet18.xml" Id="R3243ab7fea25417e" /><Relationship Type="http://schemas.openxmlformats.org/officeDocument/2006/relationships/worksheet" Target="/xl/worksheets/sheet19.xml" Id="R2a95f0013821422f" /><Relationship Type="http://schemas.openxmlformats.org/officeDocument/2006/relationships/worksheet" Target="/xl/worksheets/sheet20.xml" Id="Ra2f7a28a4f6843a2" /><Relationship Type="http://schemas.openxmlformats.org/officeDocument/2006/relationships/worksheet" Target="/xl/worksheets/sheet21.xml" Id="Radf554d21e92439d" /><Relationship Type="http://schemas.openxmlformats.org/officeDocument/2006/relationships/worksheet" Target="/xl/worksheets/sheet22.xml" Id="R71c891255ace4b66" /><Relationship Type="http://schemas.openxmlformats.org/officeDocument/2006/relationships/worksheet" Target="/xl/worksheets/sheet23.xml" Id="Rcfd33b659cc849cd" /><Relationship Type="http://schemas.openxmlformats.org/officeDocument/2006/relationships/worksheet" Target="/xl/worksheets/sheet24.xml" Id="Rf2627bcd5ea3466e" /><Relationship Type="http://schemas.openxmlformats.org/officeDocument/2006/relationships/worksheet" Target="/xl/worksheets/sheet25.xml" Id="Rd54e065bb9b34095" /><Relationship Type="http://schemas.openxmlformats.org/officeDocument/2006/relationships/worksheet" Target="/xl/worksheets/sheet26.xml" Id="R499f164666f641bd" /><Relationship Type="http://schemas.openxmlformats.org/officeDocument/2006/relationships/worksheet" Target="/xl/worksheets/sheet27.xml" Id="R24cf944cecc541f8" /><Relationship Type="http://schemas.openxmlformats.org/officeDocument/2006/relationships/worksheet" Target="/xl/worksheets/sheet28.xml" Id="R07d404b8dba34b50" /></Relationships>
</file>

<file path=xl/tables/table1.xml><?xml version="1.0" encoding="utf-8"?>
<x:table xmlns:x="http://schemas.openxmlformats.org/spreadsheetml/2006/main" id="1" name="BuildingFamilies" displayName="BuildingFamilies" ref="A4:S13" headerRowCount="1" totalsRowShown="0">
  <x:autoFilter ref="A4:S13"/>
  <x:tableColumns count="19">
    <x:tableColumn id="1" name="FamilyId"/>
    <x:tableColumn id="2" name="名称"/>
    <x:tableColumn id="3" name="分类"/>
    <x:tableColumn id="4" name="SizeX"/>
    <x:tableColumn id="5" name="SizeY"/>
    <x:tableColumn id="6" name="忽略地形"/>
    <x:tableColumn id="7" name="地形Keys"/>
    <x:tableColumn id="8" name="移动阻力"/>
    <x:tableColumn id="9" name="施工回合"/>
    <x:tableColumn id="10" name="数量上限"/>
    <x:tableColumn id="11" name="数量限制分组ID"/>
    <x:tableColumn id="12" name="蓝图初始锁定"/>
    <x:tableColumn id="13" name="锁定时隐藏"/>
    <x:tableColumn id="14" name="菜单排序"/>
    <x:tableColumn id="15" name="开发完成"/>
    <x:tableColumn id="16" name="资源提供点"/>
    <x:tableColumn id="17" name="资源提供优先级"/>
    <x:tableColumn id="18" name="行动力预算"/>
    <x:tableColumn id="19" name="说明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PlacementCosts" displayName="PlacementCosts" ref="A4:D10" headerRowCount="1" totalsRowShown="0">
  <x:autoFilter ref="A4:D10"/>
  <x:tableColumns count="4">
    <x:tableColumn id="1" name="FamilyId"/>
    <x:tableColumn id="2" name="ItemId"/>
    <x:tableColumn id="3" name="数量"/>
    <x:tableColumn id="4" name="说明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ConstructionCosts" displayName="ConstructionCosts" ref="A4:E10" headerRowCount="1" totalsRowShown="0">
  <x:autoFilter ref="A4:E10"/>
  <x:tableColumns count="5">
    <x:tableColumn id="1" name="FamilyId"/>
    <x:tableColumn id="2" name="回合序号"/>
    <x:tableColumn id="3" name="ItemId"/>
    <x:tableColumn id="4" name="数量"/>
    <x:tableColumn id="5" name="说明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OperationalLevels" displayName="OperationalLevels" ref="A4:E23" headerRowCount="1" totalsRowShown="0">
  <x:autoFilter ref="A4:E23"/>
  <x:tableColumns count="5">
    <x:tableColumn id="1" name="FamilyId"/>
    <x:tableColumn id="2" name="Level"/>
    <x:tableColumn id="3" name="开放"/>
    <x:tableColumn id="4" name="ConditionId"/>
    <x:tableColumn id="5" name="说明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UpgradeCosts" displayName="UpgradeCosts" ref="A4:E5" headerRowCount="1" totalsRowShown="0">
  <x:autoFilter ref="A4:E5"/>
  <x:tableColumns count="5">
    <x:tableColumn id="1" name="FamilyId"/>
    <x:tableColumn id="2" name="目标Level"/>
    <x:tableColumn id="3" name="ItemId"/>
    <x:tableColumn id="4" name="数量"/>
    <x:tableColumn id="5" name="说明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6" name="FixedPopulationLevels" displayName="FixedPopulationLevels" ref="A4:D8" headerRowCount="1" totalsRowShown="0">
  <x:autoFilter ref="A4:D8"/>
  <x:tableColumns count="4">
    <x:tableColumn id="1" name="FamilyId"/>
    <x:tableColumn id="2" name="Level"/>
    <x:tableColumn id="3" name="提供人口"/>
    <x:tableColumn id="4" name="校验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7" name="InventoryCapacityLevels" displayName="InventoryCapacityLevels" ref="A4:D8" headerRowCount="1" totalsRowShown="0">
  <x:autoFilter ref="A4:D8"/>
  <x:tableColumns count="4">
    <x:tableColumn id="1" name="FamilyId"/>
    <x:tableColumn id="2" name="Level"/>
    <x:tableColumn id="3" name="提供库存格"/>
    <x:tableColumn id="4" name="校验"/>
  </x:tableColumns>
  <x:tableStyleInfo name="TableStyleMedium2" showFirstColumn="0" showLastColumn="0" showRowStripes="0" showColumnStripes="0"/>
</x:table>
</file>

<file path=xl/tables/table8.xml><?xml version="1.0" encoding="utf-8"?>
<x:table xmlns:x="http://schemas.openxmlformats.org/spreadsheetml/2006/main" id="8" name="TechnologyPointLevels" displayName="TechnologyPointLevels" ref="A4:D8" headerRowCount="1" totalsRowShown="0">
  <x:autoFilter ref="A4:D8"/>
  <x:tableColumns count="4">
    <x:tableColumn id="1" name="FamilyId"/>
    <x:tableColumn id="2" name="Level"/>
    <x:tableColumn id="3" name="科技点/回合"/>
    <x:tableColumn id="4" name="校验"/>
  </x:tableColumns>
  <x:tableStyleInfo name="TableStyleMedium2" showFirstColumn="0" showLastColumn="0" showRowStripes="0" showColumnStripes="0"/>
</x:table>
</file>

<file path=xl/tables/table9.xml><?xml version="1.0" encoding="utf-8"?>
<x:table xmlns:x="http://schemas.openxmlformats.org/spreadsheetml/2006/main" id="9" name="ResidentialLevels" displayName="ResidentialLevels" ref="A4:K8" headerRowCount="1" totalsRowShown="0">
  <x:autoFilter ref="A4:K8"/>
  <x:tableColumns count="11">
    <x:tableColumn id="1" name="FamilyId"/>
    <x:tableColumn id="2" name="Level"/>
    <x:tableColumn id="3" name="初始人口"/>
    <x:tableColumn id="4" name="人口上限"/>
    <x:tableColumn id="5" name="FoodItemId"/>
    <x:tableColumn id="6" name="增长回合"/>
    <x:tableColumn id="7" name="失败衰减阈值"/>
    <x:tableColumn id="8" name="TaxItemId"/>
    <x:tableColumn id="9" name="税收回合"/>
    <x:tableColumn id="10" name="满人口食物/回合"/>
    <x:tableColumn id="11" name="校验"/>
  </x:tableColumns>
  <x:tableStyleInfo name="TableStyleMedium2" showFirstColumn="0" showLastColumn="0" showRowStripes="0" showColumnStripes="0"/>
</x:table>
</file>

<file path=xl/tables/table10.xml><?xml version="1.0" encoding="utf-8"?>
<x:table xmlns:x="http://schemas.openxmlformats.org/spreadsheetml/2006/main" id="10" name="WorkforceLevels" displayName="WorkforceLevels" ref="A4:J13" headerRowCount="1" totalsRowShown="0">
  <x:autoFilter ref="A4:J13"/>
  <x:tableColumns count="10">
    <x:tableColumn id="1" name="FamilyId"/>
    <x:tableColumn id="2" name="Level"/>
    <x:tableColumn id="3" name="最大工人"/>
    <x:tableColumn id="4" name="初始工人"/>
    <x:tableColumn id="5" name="基础吸引力"/>
    <x:tableColumn id="6" name="招工金币"/>
    <x:tableColumn id="7" name="自动补贴"/>
    <x:tableColumn id="8" name="稳定目标工人"/>
    <x:tableColumn id="9" name="GoldItemId"/>
    <x:tableColumn id="10" name="校验"/>
  </x:tableColumns>
  <x:tableStyleInfo name="TableStyleMedium2" showFirstColumn="0" showLastColumn="0" showRowStripes="0" showColumnStripes="0"/>
</x:table>
</file>

<file path=xl/tables/table11.xml><?xml version="1.0" encoding="utf-8"?>
<x:table xmlns:x="http://schemas.openxmlformats.org/spreadsheetml/2006/main" id="11" name="ProductionLevels" displayName="ProductionLevels" ref="A4:H13" headerRowCount="1" totalsRowShown="0">
  <x:autoFilter ref="A4:H13"/>
  <x:tableColumns count="8">
    <x:tableColumn id="1" name="FamilyId"/>
    <x:tableColumn id="2" name="Level"/>
    <x:tableColumn id="3" name="OutputItemId"/>
    <x:tableColumn id="4" name="工人阈值"/>
    <x:tableColumn id="5" name="产量/周期"/>
    <x:tableColumn id="6" name="周期回合"/>
    <x:tableColumn id="7" name="产量/回合"/>
    <x:tableColumn id="8" name="校验"/>
  </x:tableColumns>
  <x:tableStyleInfo name="TableStyleMedium2" showFirstColumn="0" showLastColumn="0" showRowStripes="0" showColumnStripes="0"/>
</x:table>
</file>

<file path=xl/tables/table12.xml><?xml version="1.0" encoding="utf-8"?>
<x:table xmlns:x="http://schemas.openxmlformats.org/spreadsheetml/2006/main" id="12" name="FishingRareLevels" displayName="FishingRareLevels" ref="A4:H6" headerRowCount="1" totalsRowShown="0">
  <x:autoFilter ref="A4:H6"/>
  <x:tableColumns count="8">
    <x:tableColumn id="1" name="FamilyId"/>
    <x:tableColumn id="2" name="Level"/>
    <x:tableColumn id="3" name="启用"/>
    <x:tableColumn id="4" name="ItemId"/>
    <x:tableColumn id="5" name="最低工人"/>
    <x:tableColumn id="6" name="概率%"/>
    <x:tableColumn id="7" name="数量"/>
    <x:tableColumn id="8" name="校验"/>
  </x:tableColumns>
  <x:tableStyleInfo name="TableStyleMedium2" showFirstColumn="0" showLastColumn="0" showRowStripes="0" showColumnStripes="0"/>
</x:table>
</file>

<file path=xl/tables/table13.xml><?xml version="1.0" encoding="utf-8"?>
<x:table xmlns:x="http://schemas.openxmlformats.org/spreadsheetml/2006/main" id="13" name="WarehouseLevels" displayName="WarehouseLevels" ref="A4:M7" headerRowCount="1" totalsRowShown="0">
  <x:autoFilter ref="A4:M7"/>
  <x:tableColumns count="13">
    <x:tableColumn id="1" name="FamilyId"/>
    <x:tableColumn id="2" name="Level"/>
    <x:tableColumn id="3" name="容量所需工人"/>
    <x:tableColumn id="4" name="基础库存格"/>
    <x:tableColumn id="5" name="MaintenanceItemId"/>
    <x:tableColumn id="6" name="维护费/回合"/>
    <x:tableColumn id="7" name="经验所需工人"/>
    <x:tableColumn id="8" name="经验/回合"/>
    <x:tableColumn id="9" name="下级经验要求"/>
    <x:tableColumn id="10" name="奖励工人阈值"/>
    <x:tableColumn id="11" name="奖励库存格"/>
    <x:tableColumn id="12" name="维护失败吸引力惩罚"/>
    <x:tableColumn id="13" name="校验"/>
  </x:tableColumns>
  <x:tableStyleInfo name="TableStyleMedium2" showFirstColumn="0" showLastColumn="0" showRowStripes="0" showColumnStripes="0"/>
</x:table>
</file>

<file path=xl/tables/table14.xml><?xml version="1.0" encoding="utf-8"?>
<x:table xmlns:x="http://schemas.openxmlformats.org/spreadsheetml/2006/main" id="14" name="MarketModule" displayName="MarketModule" ref="A4:E5" headerRowCount="1" totalsRowShown="0">
  <x:autoFilter ref="A4:E5"/>
  <x:tableColumns count="5">
    <x:tableColumn id="1" name="FamilyId"/>
    <x:tableColumn id="2" name="GoldItemId"/>
    <x:tableColumn id="3" name="价值结算比例"/>
    <x:tableColumn id="4" name="显示比例"/>
    <x:tableColumn id="5" name="校验"/>
  </x:tableColumns>
  <x:tableStyleInfo name="TableStyleMedium2" showFirstColumn="0" showLastColumn="0" showRowStripes="0" showColumnStripes="0"/>
</x:table>
</file>

<file path=xl/tables/table15.xml><?xml version="1.0" encoding="utf-8"?>
<x:table xmlns:x="http://schemas.openxmlformats.org/spreadsheetml/2006/main" id="15" name="TreeModule" displayName="TreeModule" ref="A4:K5" headerRowCount="1" totalsRowShown="0">
  <x:autoFilter ref="A4:K5"/>
  <x:tableColumns count="11">
    <x:tableColumn id="1" name="FamilyId"/>
    <x:tableColumn id="2" name="最低生命"/>
    <x:tableColumn id="3" name="最高生命"/>
    <x:tableColumn id="4" name="双击伤害"/>
    <x:tableColumn id="5" name="WoodItemId"/>
    <x:tableColumn id="6" name="原木奖励"/>
    <x:tableColumn id="7" name="SaplingItemId"/>
    <x:tableColumn id="8" name="树苗奖励"/>
    <x:tableColumn id="9" name="平均生命"/>
    <x:tableColumn id="10" name="预计双击次数"/>
    <x:tableColumn id="11" name="校验"/>
  </x:tableColumns>
  <x:tableStyleInfo name="TableStyleMedium2" showFirstColumn="0" showLastColumn="0" showRowStripes="0" showColumnStripes="0"/>
</x:table>
</file>

<file path=xl/tables/table16.xml><?xml version="1.0" encoding="utf-8"?>
<x:table xmlns:x="http://schemas.openxmlformats.org/spreadsheetml/2006/main" id="16" name="SpatialEffectModule" displayName="SpatialEffectModule" ref="A4:K5" headerRowCount="1" totalsRowShown="0">
  <x:autoFilter ref="A4:K5"/>
  <x:tableColumns count="11">
    <x:tableColumn id="1" name="FamilyId"/>
    <x:tableColumn id="2" name="EffectId"/>
    <x:tableColumn id="3" name="显示名"/>
    <x:tableColumn id="4" name="Kind"/>
    <x:tableColumn id="5" name="TargetFilter"/>
    <x:tableColumn id="6" name="曼哈顿半径"/>
    <x:tableColumn id="7" name="效果数值"/>
    <x:tableColumn id="8" name="StackingRule"/>
    <x:tableColumn id="9" name="影响自身占地"/>
    <x:tableColumn id="10" name="覆盖格说明"/>
    <x:tableColumn id="11" name="校验"/>
  </x:tableColumns>
  <x:tableStyleInfo name="TableStyleMedium2" showFirstColumn="0" showLastColumn="0" showRowStripes="0" showColumnStripes="0"/>
</x:table>
</file>

<file path=xl/tables/table17.xml><?xml version="1.0" encoding="utf-8"?>
<x:table xmlns:x="http://schemas.openxmlformats.org/spreadsheetml/2006/main" id="17" name="VisualStyleChecklist" displayName="VisualStyleChecklist" ref="A4:F12" headerRowCount="1" totalsRowShown="0">
  <x:autoFilter ref="A4:F12"/>
  <x:tableColumns count="6">
    <x:tableColumn id="1" name="FamilyId"/>
    <x:tableColumn id="2" name="StyleId"/>
    <x:tableColumn id="3" name="菜单名称"/>
    <x:tableColumn id="4" name="IconAssetPath"/>
    <x:tableColumn id="5" name="LV1ViewAssetPath"/>
    <x:tableColumn id="6" name="回填状态"/>
  </x:tableColumns>
  <x:tableStyleInfo name="TableStyleMedium2" showFirstColumn="0" showLastColumn="0" showRowStripes="0" showColumnStripes="0"/>
</x:table>
</file>

<file path=xl/tables/table18.xml><?xml version="1.0" encoding="utf-8"?>
<x:table xmlns:x="http://schemas.openxmlformats.org/spreadsheetml/2006/main" id="18" name="ImportDictionary" displayName="ImportDictionary" ref="A4:E39" headerRowCount="1" totalsRowShown="0">
  <x:autoFilter ref="A4:E39"/>
  <x:tableColumns count="5">
    <x:tableColumn id="1" name="类型"/>
    <x:tableColumn id="2" name="稳定ID/名称"/>
    <x:tableColumn id="3" name="显示说明"/>
    <x:tableColumn id="4" name="Unity 解析目标"/>
    <x:tableColumn id="5" name="是否导入"/>
  </x:tableColumns>
  <x:tableStyleInfo name="TableStyleMedium2" showFirstColumn="0" showLastColumn="0" showRowStripes="0" showColumnStripes="0"/>
</x:table>
</file>

<file path=xl/tables/table19.xml><?xml version="1.0" encoding="utf-8"?>
<x:table xmlns:x="http://schemas.openxmlformats.org/spreadsheetml/2006/main" id="19" name="WorkbookSummary" displayName="WorkbookSummary" ref="A4:E11" headerRowCount="1" totalsRowShown="0">
  <x:autoFilter ref="A4:E11"/>
  <x:tableColumns count="5">
    <x:tableColumn id="1" name="检查项"/>
    <x:tableColumn id="2" name="当前值"/>
    <x:tableColumn id="3" name="基准/规则"/>
    <x:tableColumn id="4" name="状态"/>
    <x:tableColumn id="5" name="说明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1167ad373348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125ede0de947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7d3f7f0b1844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a8431e3f8941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2ca9d4ac3f45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60bf36fcf340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43e6995eb240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d2bb04d66c404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1a55f94c58943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16b3cf7439e48c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84e72c3bad040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627a156515b476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7c67fd74084428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c989b086244b48e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d13291b301ab4c0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54e4c221c49342b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7.xml" Id="R6a7f648a7def4fe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8.xml" Id="R137df4d56baa4ef0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9.xml" Id="Rfb8b49ee27134a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18" style="42" customWidth="1"/>
    <x:col min="2" max="2" width="28" style="42" customWidth="1"/>
    <x:col min="3" max="8" width="18" style="42" customWidth="1"/>
  </x:cols>
  <x:sheetData>
    <x:row r="1" s="42" customFormat="1" ht="30" customHeight="1">
      <x:c r="A1" s="1" t="inlineStr">
        <x:is>
          <x:t xml:space="preserve">建筑正式数值配置表</x:t>
        </x:is>
      </x:c>
    </x:row>
    <x:row r="2" s="42" customFormat="1" ht="38" customHeight="1">
      <x:c r="A2" s="2" t="inlineStr">
        <x:is>
          <x:t xml:space="preserve">黄色单元格是策划输入，蓝色单元格是公式/检查。Unity 导表器是最终校验权威；任一错误会阻止整次导入。</x:t>
        </x:is>
      </x:c>
    </x:row>
    <x:row r="3">
      <x:c r="A3" s="3" t="n"/>
      <x:c r="B3" s="3" t="n"/>
      <x:c r="C3" s="3" t="n"/>
      <x:c r="D3" s="3" t="n"/>
      <x:c r="E3" s="3" t="n"/>
      <x:c r="F3" s="3" t="n"/>
      <x:c r="G3" s="3" t="n"/>
      <x:c r="H3" s="3" t="n"/>
    </x:row>
    <x:row r="4">
      <x:c r="A4" s="28" t="inlineStr">
        <x:is>
          <x:t xml:space="preserve">SchemaVersion</x:t>
        </x:is>
      </x:c>
      <x:c r="B4" s="29" t="n">
        <x:v>6</x:v>
      </x:c>
      <x:c r="C4" s="3" t="n"/>
      <x:c r="D4" s="3" t="n"/>
      <x:c r="E4" s="3" t="n"/>
      <x:c r="F4" s="3" t="n"/>
      <x:c r="G4" s="3" t="n"/>
      <x:c r="H4" s="3" t="n"/>
    </x:row>
    <x:row r="5" s="42" customFormat="1" ht="42" customHeight="1">
      <x:c r="A5" s="28" t="inlineStr">
        <x:is>
          <x:t xml:space="preserve">正式源路径</x:t>
        </x:is>
      </x:c>
      <x:c r="B5" s="29" t="inlineStr">
        <x:is>
          <x:t xml:space="preserve">ConfigSource/Buildings/建筑数值策划表.xlsx（项目根目录，不进入 AssetDatabase）</x:t>
        </x:is>
      </x:c>
      <x:c r="C5" s="3" t="n"/>
      <x:c r="D5" s="3" t="n"/>
      <x:c r="E5" s="3" t="n"/>
      <x:c r="F5" s="3" t="n"/>
      <x:c r="G5" s="3" t="n"/>
      <x:c r="H5" s="3" t="n"/>
    </x:row>
    <x:row r="6">
      <x:c r="A6" s="28" t="inlineStr">
        <x:is>
          <x:t xml:space="preserve">当前家族数</x:t>
        </x:is>
      </x:c>
      <x:c r="B6" s="29" t="e">
        <x:f>COUNTA(建筑家族!A5:A200)</x:f>
        <x:v>#NAME?</x:v>
      </x:c>
      <x:c r="C6" s="3" t="n"/>
      <x:c r="D6" s="3" t="n"/>
      <x:c r="E6" s="3" t="n"/>
      <x:c r="F6" s="3" t="n"/>
      <x:c r="G6" s="3" t="n"/>
      <x:c r="H6" s="3" t="n"/>
    </x:row>
    <x:row r="7">
      <x:c r="A7" s="28" t="inlineStr">
        <x:is>
          <x:t xml:space="preserve">当前运营等级数</x:t>
        </x:is>
      </x:c>
      <x:c r="B7" s="29" t="e">
        <x:f>COUNTA(运营等级!A5:A200)</x:f>
        <x:v>#NAME?</x:v>
      </x:c>
      <x:c r="C7" s="3" t="n"/>
      <x:c r="D7" s="3" t="n"/>
      <x:c r="E7" s="3" t="n"/>
      <x:c r="F7" s="3" t="n"/>
      <x:c r="G7" s="3" t="n"/>
      <x:c r="H7" s="3" t="n"/>
    </x:row>
    <x:row r="8" s="42" customFormat="1" ht="42" customHeight="1">
      <x:c r="A8" s="28" t="inlineStr">
        <x:is>
          <x:t xml:space="preserve">核心组合键</x:t>
        </x:is>
      </x:c>
      <x:c r="B8" s="29" t="str">
        <x:v>FamilyId + Level；作物增加 CropId；范围效果增加 EffectId，并可按生效 Level + 最低工人分档；视觉增加 StyleId</x:v>
      </x:c>
      <x:c r="C8" s="3" t="n"/>
      <x:c r="D8" s="3" t="n"/>
      <x:c r="E8" s="3" t="n"/>
      <x:c r="F8" s="3" t="n"/>
      <x:c r="G8" s="3" t="n"/>
      <x:c r="H8" s="3" t="n"/>
    </x:row>
    <x:row r="9">
      <x:c r="A9" s="3" t="n"/>
      <x:c r="B9" s="3" t="n"/>
      <x:c r="C9" s="3" t="n"/>
      <x:c r="D9" s="3" t="n"/>
      <x:c r="E9" s="3" t="n"/>
      <x:c r="F9" s="3" t="n"/>
      <x:c r="G9" s="3" t="n"/>
      <x:c r="H9" s="3" t="n"/>
    </x:row>
    <x:row r="10">
      <x:c r="A10" s="30" t="inlineStr">
        <x:is>
          <x:t xml:space="preserve">数据权属</x:t>
        </x:is>
      </x:c>
    </x:row>
    <x:row r="11">
      <x:c r="A11" s="31" t="str">
        <x:v>Excel 导入</x:v>
      </x:c>
      <x:c r="B11" s="32" t="str">
        <x:v>建筑公共数值、蓝图自动条件、地形覆盖要求、放置/施工消耗与产出、升级、岗位/维护费/运营经验、等级配置、全局生产 Buff、仓库/市场/树木/医疗/治安范围效果/作物模块默认值</x:v>
      </x:c>
      <x:c r="C11" s="43" t="n"/>
      <x:c r="D11" s="43" t="n"/>
      <x:c r="E11" s="43" t="n"/>
      <x:c r="F11" s="43" t="n"/>
      <x:c r="G11" s="43" t="n"/>
      <x:c r="H11" s="44" t="n"/>
    </x:row>
    <x:row r="12">
      <x:c r="A12" s="34" t="str">
        <x:v>Unity 维护</x:v>
      </x:c>
      <x:c r="B12" s="35" t="str">
        <x:v>Runtime Prefab 结构、ModuleSet 模块结构、Presentation、图标/View、复杂非科技条件</x:v>
      </x:c>
      <x:c r="C12" s="45" t="n"/>
      <x:c r="D12" s="45" t="n"/>
      <x:c r="E12" s="45" t="n"/>
      <x:c r="F12" s="45" t="n"/>
      <x:c r="G12" s="45" t="n"/>
      <x:c r="H12" s="46" t="n"/>
    </x:row>
    <x:row r="13">
      <x:c r="A13" s="34" t="str">
        <x:v>Prefab 标量</x:v>
      </x:c>
      <x:c r="B13" s="35" t="str">
        <x:v>导表器只更新资源提供点、资源优先级、行动力预算三个数据字段，不添加/删除组件</x:v>
      </x:c>
      <x:c r="C13" s="45" t="n"/>
      <x:c r="D13" s="45" t="n"/>
      <x:c r="E13" s="45" t="n"/>
      <x:c r="F13" s="45" t="n"/>
      <x:c r="G13" s="45" t="n"/>
      <x:c r="H13" s="46" t="n"/>
    </x:row>
    <x:row r="14">
      <x:c r="A14" s="34" t="str">
        <x:v>ItemId</x:v>
      </x:c>
      <x:c r="B14" s="35" t="str">
        <x:v>Excel 使用 ItemId；导入器解析后写入真实 ItemDefinition 引用</x:v>
      </x:c>
      <x:c r="C14" s="45" t="n"/>
      <x:c r="D14" s="45" t="n"/>
      <x:c r="E14" s="45" t="n"/>
      <x:c r="F14" s="45" t="n"/>
      <x:c r="G14" s="45" t="n"/>
      <x:c r="H14" s="46" t="n"/>
    </x:row>
    <x:row r="15">
      <x:c r="A15" s="34" t="str">
        <x:v>条件</x:v>
      </x:c>
      <x:c r="B15" s="35" t="str">
        <x:v>蓝图/全局 Buff 条件支持 none 或 technology.&lt;TechnologyId&gt;；升级条件额外支持 keep</x:v>
      </x:c>
      <x:c r="C15" s="45" t="n"/>
      <x:c r="D15" s="45" t="n"/>
      <x:c r="E15" s="45" t="n"/>
      <x:c r="F15" s="45" t="n"/>
      <x:c r="G15" s="45" t="n"/>
      <x:c r="H15" s="46" t="n"/>
    </x:row>
    <x:row r="16">
      <x:c r="A16" s="37" t="str">
        <x:v>视觉样式</x:v>
      </x:c>
      <x:c r="B16" s="38" t="str">
        <x:v>视觉样式工作表仅作美术回填清单，不参与数值导入，不会清空已有表现资源</x:v>
      </x:c>
      <x:c r="C16" s="47" t="n"/>
      <x:c r="D16" s="47" t="n"/>
      <x:c r="E16" s="47" t="n"/>
      <x:c r="F16" s="47" t="n"/>
      <x:c r="G16" s="47" t="n"/>
      <x:c r="H16" s="48" t="n"/>
    </x:row>
    <x:row r="17">
      <x:c r="A17" s="3" t="n"/>
      <x:c r="B17" s="3" t="n"/>
      <x:c r="C17" s="3" t="n"/>
      <x:c r="D17" s="3" t="n"/>
      <x:c r="E17" s="3" t="n"/>
      <x:c r="F17" s="3" t="n"/>
      <x:c r="G17" s="3" t="n"/>
      <x:c r="H17" s="3" t="n"/>
    </x:row>
    <x:row r="18">
      <x:c r="A18" s="30" t="inlineStr">
        <x:is>
          <x:t xml:space="preserve">策划流程</x:t>
        </x:is>
      </x:c>
    </x:row>
    <x:row r="19">
      <x:c r="A19" s="40" t="inlineStr">
        <x:is>
          <x:t xml:space="preserve">1</x:t>
        </x:is>
      </x:c>
      <x:c r="B19" s="41" t="inlineStr">
        <x:is>
          <x:t xml:space="preserve">在对应专表修改黄色输入字段；不要改工作表名、第 4 行列名或 SchemaVersion 位置。</x:t>
        </x:is>
      </x:c>
    </x:row>
    <x:row r="20">
      <x:c r="A20" s="40" t="inlineStr">
        <x:is>
          <x:t xml:space="preserve">2</x:t>
        </x:is>
      </x:c>
      <x:c r="B20" s="41" t="inlineStr">
        <x:is>
          <x:t xml:space="preserve">回到 Unity：Landsong / Building / 建筑数值导表工具。</x:t>
        </x:is>
      </x:c>
    </x:row>
    <x:row r="21">
      <x:c r="A21" s="40" t="inlineStr">
        <x:is>
          <x:t xml:space="preserve">3</x:t>
        </x:is>
      </x:c>
      <x:c r="B21" s="41" t="inlineStr">
        <x:is>
          <x:t xml:space="preserve">点击“重新读取并校验”，先修复全部错误。警告可根据内容判断。</x:t>
        </x:is>
      </x:c>
    </x:row>
    <x:row r="22">
      <x:c r="A22" s="40" t="inlineStr">
        <x:is>
          <x:t xml:space="preserve">4</x:t>
        </x:is>
      </x:c>
      <x:c r="B22" s="41" t="inlineStr">
        <x:is>
          <x:t xml:space="preserve">确认影响预览后执行导入；导入支持一次 Undo。</x:t>
        </x:is>
      </x:c>
    </x:row>
    <x:row r="23">
      <x:c r="A23" s="40" t="inlineStr">
        <x:is>
          <x:t xml:space="preserve">5</x:t>
        </x:is>
      </x:c>
      <x:c r="B23" s="41" t="inlineStr">
        <x:is>
          <x:t xml:space="preserve">新增建筑或模块结构仍先用建筑编辑器创建，再补本表数据。未知 FamilyId 不会自动创建资产。</x:t>
        </x:is>
      </x:c>
    </x:row>
  </x:sheetData>
  <x:mergeCells>
    <x:mergeCell ref="A18:H18"/>
    <x:mergeCell ref="B22:H22"/>
    <x:mergeCell ref="B14:H14"/>
    <x:mergeCell ref="B13:H13"/>
    <x:mergeCell ref="B21:H21"/>
    <x:mergeCell ref="A2:H2"/>
    <x:mergeCell ref="B12:H12"/>
    <x:mergeCell ref="A10:H10"/>
    <x:mergeCell ref="B16:H16"/>
    <x:mergeCell ref="B15:H15"/>
    <x:mergeCell ref="B11:H11"/>
    <x:mergeCell ref="A1:H1"/>
    <x:mergeCell ref="B19:H19"/>
    <x:mergeCell ref="B20:H20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3" width="14" style="42" customWidth="1"/>
    <x:col min="4" max="5" width="8" style="42" customWidth="1"/>
    <x:col min="6" max="6" width="11" style="42" customWidth="1"/>
    <x:col min="7" max="7" width="16" style="42" customWidth="1"/>
    <x:col min="8" max="10" width="11" style="42" customWidth="1"/>
    <x:col min="11" max="11" width="28" style="42" customWidth="1"/>
    <x:col min="12" max="12" width="14" style="42" customWidth="1"/>
    <x:col min="13" max="13" width="13" style="42" customWidth="1"/>
    <x:col min="14" max="14" width="10" style="42" customWidth="1"/>
    <x:col min="15" max="15" width="11" style="42" customWidth="1"/>
    <x:col min="16" max="16" width="12" style="42" customWidth="1"/>
    <x:col min="17" max="17" width="17" style="42" customWidth="1"/>
    <x:col min="18" max="18" width="12" style="42" customWidth="1"/>
    <x:col min="19" max="19" width="42" style="42" customWidth="1"/>
    <x:col min="20" max="20" width="19" hidden="0" customWidth="1"/>
    <x:col min="21" max="21" width="34" hidden="0" customWidth="1"/>
  </x:cols>
  <x:sheetData>
    <x:row r="1" s="42" customFormat="1" ht="30" customHeight="1">
      <x:c r="A1" s="1" t="inlineStr">
        <x:is>
          <x:t xml:space="preserve">建筑家族（公共数值）</x:t>
        </x:is>
      </x:c>
    </x:row>
    <x:row r="2" s="42" customFormat="1" ht="38" customHeight="1">
      <x:c r="A2" s="2" t="str">
        <x:v>一行一个现有 FamilyId。地形Keys 要求占地每格满足；占地内至少一格Keys 用于石矿等覆盖层；蓝图科技关系配置在本表。</x:v>
      </x:c>
    </x:row>
    <x:row r="3">
      <x:c r="A3" s="3" t="n"/>
      <x:c r="B3" s="3" t="n"/>
      <x:c r="C3" s="3" t="n"/>
      <x:c r="D3" s="3" t="n"/>
      <x:c r="E3" s="3" t="n"/>
      <x:c r="F3" s="3" t="n"/>
      <x:c r="G3" s="3" t="n"/>
      <x:c r="H3" s="3" t="n"/>
      <x:c r="I3" s="3" t="n"/>
      <x:c r="J3" s="3" t="n"/>
      <x:c r="K3" s="3" t="n"/>
      <x:c r="L3" s="3" t="n"/>
      <x:c r="M3" s="3" t="n"/>
      <x:c r="N3" s="3" t="n"/>
      <x:c r="O3" s="3" t="n"/>
      <x:c r="P3" s="3" t="n"/>
      <x:c r="Q3" s="3" t="n"/>
      <x:c r="R3" s="3" t="n"/>
      <x:c r="S3" s="3" t="n"/>
      <x:c r="T3"/>
      <x:c r="U3"/>
    </x:row>
    <x:row r="4" s="42" customFormat="1" ht="30" customHeight="1">
      <x:c r="A4" s="4" t="inlineStr">
        <x:is>
          <x:t xml:space="preserve">FamilyId</x:t>
        </x:is>
      </x:c>
      <x:c r="B4" s="5" t="inlineStr">
        <x:is>
          <x:t xml:space="preserve">名称</x:t>
        </x:is>
      </x:c>
      <x:c r="C4" s="5" t="inlineStr">
        <x:is>
          <x:t xml:space="preserve">分类</x:t>
        </x:is>
      </x:c>
      <x:c r="D4" s="5" t="inlineStr">
        <x:is>
          <x:t xml:space="preserve">SizeX</x:t>
        </x:is>
      </x:c>
      <x:c r="E4" s="5" t="inlineStr">
        <x:is>
          <x:t xml:space="preserve">SizeY</x:t>
        </x:is>
      </x:c>
      <x:c r="F4" s="5" t="inlineStr">
        <x:is>
          <x:t xml:space="preserve">忽略地形</x:t>
        </x:is>
      </x:c>
      <x:c r="G4" s="5" t="inlineStr">
        <x:is>
          <x:t xml:space="preserve">地形Keys</x:t>
        </x:is>
      </x:c>
      <x:c r="H4" s="5" t="inlineStr">
        <x:is>
          <x:t xml:space="preserve">移动阻力</x:t>
        </x:is>
      </x:c>
      <x:c r="I4" s="5" t="inlineStr">
        <x:is>
          <x:t xml:space="preserve">施工回合</x:t>
        </x:is>
      </x:c>
      <x:c r="J4" s="5" t="inlineStr">
        <x:is>
          <x:t xml:space="preserve">数量上限</x:t>
        </x:is>
      </x:c>
      <x:c r="K4" s="5" t="inlineStr">
        <x:is>
          <x:t xml:space="preserve">数量限制分组ID</x:t>
        </x:is>
      </x:c>
      <x:c r="L4" s="5" t="inlineStr">
        <x:is>
          <x:t xml:space="preserve">蓝图初始锁定</x:t>
        </x:is>
      </x:c>
      <x:c r="M4" s="5" t="inlineStr">
        <x:is>
          <x:t xml:space="preserve">锁定时隐藏</x:t>
        </x:is>
      </x:c>
      <x:c r="N4" s="5" t="inlineStr">
        <x:is>
          <x:t xml:space="preserve">菜单排序</x:t>
        </x:is>
      </x:c>
      <x:c r="O4" s="5" t="inlineStr">
        <x:is>
          <x:t xml:space="preserve">开发完成</x:t>
        </x:is>
      </x:c>
      <x:c r="P4" s="5" t="inlineStr">
        <x:is>
          <x:t xml:space="preserve">资源提供点</x:t>
        </x:is>
      </x:c>
      <x:c r="Q4" s="5" t="inlineStr">
        <x:is>
          <x:t xml:space="preserve">资源提供优先级</x:t>
        </x:is>
      </x:c>
      <x:c r="R4" s="5" t="inlineStr">
        <x:is>
          <x:t xml:space="preserve">行动力预算</x:t>
        </x:is>
      </x:c>
      <x:c r="S4" s="6" t="inlineStr">
        <x:is>
          <x:t xml:space="preserve">说明</x:t>
        </x:is>
      </x:c>
      <x:c r="T4" s="99" t="str">
        <x:v>占地内至少一格Keys</x:v>
      </x:c>
      <x:c r="U4" s="99" t="str">
        <x:v>蓝图解锁ConditionId</x:v>
      </x:c>
    </x:row>
    <x:row r="5">
      <x:c r="A5" s="7" t="inlineStr">
        <x:is>
          <x:t xml:space="preserve">building.player_home</x:t>
        </x:is>
      </x:c>
      <x:c r="B5" s="7" t="inlineStr">
        <x:is>
          <x:t xml:space="preserve">王宫</x:t>
        </x:is>
      </x:c>
      <x:c r="C5" s="7" t="inlineStr">
        <x:is>
          <x:t xml:space="preserve">市政</x:t>
        </x:is>
      </x:c>
      <x:c r="D5" s="9" t="n">
        <x:v>4</x:v>
      </x:c>
      <x:c r="E5" s="9" t="n">
        <x:v>4</x:v>
      </x:c>
      <x:c r="F5" s="7" t="inlineStr">
        <x:is>
          <x:t xml:space="preserve">否</x:t>
        </x:is>
      </x:c>
      <x:c r="G5" s="7" t="inlineStr">
        <x:is>
          <x:t xml:space="preserve">陆地</x:t>
        </x:is>
      </x:c>
      <x:c r="H5" s="9" t="n">
        <x:v>0</x:v>
      </x:c>
      <x:c r="I5" s="9" t="n">
        <x:v>1</x:v>
      </x:c>
      <x:c r="J5" s="9" t="n">
        <x:v>1</x:v>
      </x:c>
      <x:c r="K5" s="7" t="inlineStr">
        <x:is>
          <x:t xml:space="preserve">building.player_home</x:t>
        </x:is>
      </x:c>
      <x:c r="L5" s="7" t="inlineStr">
        <x:is>
          <x:t xml:space="preserve">否</x:t>
        </x:is>
      </x:c>
      <x:c r="M5" s="7" t="inlineStr">
        <x:is>
          <x:t xml:space="preserve">否</x:t>
        </x:is>
      </x:c>
      <x:c r="N5" s="9" t="n">
        <x:v>0</x:v>
      </x:c>
      <x:c r="O5" s="7" t="inlineStr">
        <x:is>
          <x:t xml:space="preserve">是</x:t>
        </x:is>
      </x:c>
      <x:c r="P5" s="7" t="inlineStr">
        <x:is>
          <x:t xml:space="preserve">是</x:t>
        </x:is>
      </x:c>
      <x:c r="Q5" s="9" t="n">
        <x:v>0</x:v>
      </x:c>
      <x:c r="R5" s="9" t="n">
        <x:v>100</x:v>
      </x:c>
      <x:c r="S5" s="7" t="inlineStr">
        <x:is>
          <x:t xml:space="preserve">显示条件由 Unity 维护为隐藏；提供固定人口、库存与科技点</x:t>
        </x:is>
      </x:c>
      <x:c r="T5" s="100" t="str"/>
      <x:c r="U5" s="100" t="str">
        <x:v>none</x:v>
      </x:c>
    </x:row>
    <x:row r="6">
      <x:c r="A6" s="11" t="inlineStr">
        <x:is>
          <x:t xml:space="preserve">building.residential_house</x:t>
        </x:is>
      </x:c>
      <x:c r="B6" s="11" t="inlineStr">
        <x:is>
          <x:t xml:space="preserve">居民房</x:t>
        </x:is>
      </x:c>
      <x:c r="C6" s="11" t="inlineStr">
        <x:is>
          <x:t xml:space="preserve">人口</x:t>
        </x:is>
      </x:c>
      <x:c r="D6" s="13" t="n">
        <x:v>1</x:v>
      </x:c>
      <x:c r="E6" s="13" t="n">
        <x:v>1</x:v>
      </x:c>
      <x:c r="F6" s="11" t="inlineStr">
        <x:is>
          <x:t xml:space="preserve">否</x:t>
        </x:is>
      </x:c>
      <x:c r="G6" s="11" t="inlineStr">
        <x:is>
          <x:t xml:space="preserve">陆地</x:t>
        </x:is>
      </x:c>
      <x:c r="H6" s="13" t="n">
        <x:v>0</x:v>
      </x:c>
      <x:c r="I6" s="13" t="n">
        <x:v>3</x:v>
      </x:c>
      <x:c r="J6" s="13" t="n">
        <x:v>99</x:v>
      </x:c>
      <x:c r="K6" s="11" t="inlineStr">
        <x:is>
          <x:t xml:space="preserve">building.residential_house</x:t>
        </x:is>
      </x:c>
      <x:c r="L6" s="11" t="inlineStr">
        <x:is>
          <x:t xml:space="preserve">否</x:t>
        </x:is>
      </x:c>
      <x:c r="M6" s="11" t="inlineStr">
        <x:is>
          <x:t xml:space="preserve">否</x:t>
        </x:is>
      </x:c>
      <x:c r="N6" s="13" t="n">
        <x:v>0</x:v>
      </x:c>
      <x:c r="O6" s="11" t="inlineStr">
        <x:is>
          <x:t xml:space="preserve">是</x:t>
        </x:is>
      </x:c>
      <x:c r="P6" s="11" t="inlineStr">
        <x:is>
          <x:t xml:space="preserve">否</x:t>
        </x:is>
      </x:c>
      <x:c r="Q6" s="13" t="n">
        <x:v>0</x:v>
      </x:c>
      <x:c r="R6" s="13" t="n">
        <x:v>100</x:v>
      </x:c>
      <x:c r="S6" s="11" t="inlineStr">
        <x:is>
          <x:t xml:space="preserve">放置后经历 3 个施工阶段</x:t>
        </x:is>
      </x:c>
      <x:c r="T6" s="100" t="str"/>
      <x:c r="U6" s="100" t="str">
        <x:v>none</x:v>
      </x:c>
    </x:row>
    <x:row r="7">
      <x:c r="A7" s="11" t="inlineStr">
        <x:is>
          <x:t xml:space="preserve">building.lumber_cabin</x:t>
        </x:is>
      </x:c>
      <x:c r="B7" s="11" t="inlineStr">
        <x:is>
          <x:t xml:space="preserve">伐木小屋</x:t>
        </x:is>
      </x:c>
      <x:c r="C7" s="11" t="inlineStr">
        <x:is>
          <x:t xml:space="preserve">工业</x:t>
        </x:is>
      </x:c>
      <x:c r="D7" s="13" t="n">
        <x:v>1</x:v>
      </x:c>
      <x:c r="E7" s="13" t="n">
        <x:v>1</x:v>
      </x:c>
      <x:c r="F7" s="11" t="inlineStr">
        <x:is>
          <x:t xml:space="preserve">否</x:t>
        </x:is>
      </x:c>
      <x:c r="G7" s="11" t="inlineStr">
        <x:is>
          <x:t xml:space="preserve">陆地</x:t>
        </x:is>
      </x:c>
      <x:c r="H7" s="13" t="n">
        <x:v>0</x:v>
      </x:c>
      <x:c r="I7" s="13" t="n">
        <x:v>1</x:v>
      </x:c>
      <x:c r="J7" s="13" t="n">
        <x:v>0</x:v>
      </x:c>
      <x:c r="K7" s="11" t="inlineStr">
        <x:is>
          <x:t xml:space="preserve">building.lumber_cabin</x:t>
        </x:is>
      </x:c>
      <x:c r="L7" s="11" t="inlineStr">
        <x:is>
          <x:t xml:space="preserve">是</x:t>
        </x:is>
      </x:c>
      <x:c r="M7" s="11" t="inlineStr">
        <x:is>
          <x:t xml:space="preserve">是</x:t>
        </x:is>
      </x:c>
      <x:c r="N7" s="13" t="n">
        <x:v>0</x:v>
      </x:c>
      <x:c r="O7" s="11" t="inlineStr">
        <x:is>
          <x:t xml:space="preserve">是</x:t>
        </x:is>
      </x:c>
      <x:c r="P7" s="11" t="inlineStr">
        <x:is>
          <x:t xml:space="preserve">否</x:t>
        </x:is>
      </x:c>
      <x:c r="Q7" s="13" t="n">
        <x:v>0</x:v>
      </x:c>
      <x:c r="R7" s="13" t="n">
        <x:v>100</x:v>
      </x:c>
      <x:c r="S7" s="11" t="inlineStr">
        <x:is>
          <x:t xml:space="preserve">岗位 + 普通生产</x:t>
        </x:is>
      </x:c>
      <x:c r="T7" s="100" t="str"/>
      <x:c r="U7" s="100" t="str">
        <x:v>technology.TN_3_1_启蒙</x:v>
      </x:c>
    </x:row>
    <x:row r="8">
      <x:c r="A8" s="11" t="inlineStr">
        <x:is>
          <x:t xml:space="preserve">building.fishing_hut</x:t>
        </x:is>
      </x:c>
      <x:c r="B8" s="11" t="inlineStr">
        <x:is>
          <x:t xml:space="preserve">捕鱼小屋</x:t>
        </x:is>
      </x:c>
      <x:c r="C8" s="11" t="inlineStr">
        <x:is>
          <x:t xml:space="preserve">农业</x:t>
        </x:is>
      </x:c>
      <x:c r="D8" s="13" t="n">
        <x:v>2</x:v>
      </x:c>
      <x:c r="E8" s="13" t="n">
        <x:v>2</x:v>
      </x:c>
      <x:c r="F8" s="11" t="inlineStr">
        <x:is>
          <x:t xml:space="preserve">否</x:t>
        </x:is>
      </x:c>
      <x:c r="G8" s="11" t="inlineStr">
        <x:is>
          <x:t xml:space="preserve">陆地</x:t>
        </x:is>
      </x:c>
      <x:c r="H8" s="13" t="n">
        <x:v>0</x:v>
      </x:c>
      <x:c r="I8" s="13" t="n">
        <x:v>1</x:v>
      </x:c>
      <x:c r="J8" s="13" t="n">
        <x:v>0</x:v>
      </x:c>
      <x:c r="K8" s="11" t="inlineStr">
        <x:is>
          <x:t xml:space="preserve">building.fishing_hut</x:t>
        </x:is>
      </x:c>
      <x:c r="L8" s="11" t="inlineStr">
        <x:is>
          <x:t xml:space="preserve">否</x:t>
        </x:is>
      </x:c>
      <x:c r="M8" s="11" t="inlineStr">
        <x:is>
          <x:t xml:space="preserve">否</x:t>
        </x:is>
      </x:c>
      <x:c r="N8" s="13" t="n">
        <x:v>0</x:v>
      </x:c>
      <x:c r="O8" s="11" t="inlineStr">
        <x:is>
          <x:t xml:space="preserve">否</x:t>
        </x:is>
      </x:c>
      <x:c r="P8" s="11" t="inlineStr">
        <x:is>
          <x:t xml:space="preserve">否</x:t>
        </x:is>
      </x:c>
      <x:c r="Q8" s="13" t="n">
        <x:v>0</x:v>
      </x:c>
      <x:c r="R8" s="13" t="n">
        <x:v>100</x:v>
      </x:c>
      <x:c r="S8" s="11" t="inlineStr">
        <x:is>
          <x:t xml:space="preserve">岗位 + 普通生产 + 稀有产出</x:t>
        </x:is>
      </x:c>
      <x:c r="T8" s="100" t="str"/>
      <x:c r="U8" s="100" t="str">
        <x:v>none</x:v>
      </x:c>
    </x:row>
    <x:row r="9">
      <x:c r="A9" s="11" t="inlineStr">
        <x:is>
          <x:t xml:space="preserve">building.farm_field</x:t>
        </x:is>
      </x:c>
      <x:c r="B9" s="11" t="inlineStr">
        <x:is>
          <x:t xml:space="preserve">农田</x:t>
        </x:is>
      </x:c>
      <x:c r="C9" s="11" t="inlineStr">
        <x:is>
          <x:t xml:space="preserve">农业</x:t>
        </x:is>
      </x:c>
      <x:c r="D9" s="13" t="n">
        <x:v>2</x:v>
      </x:c>
      <x:c r="E9" s="13" t="n">
        <x:v>2</x:v>
      </x:c>
      <x:c r="F9" s="11" t="inlineStr">
        <x:is>
          <x:t xml:space="preserve">否</x:t>
        </x:is>
      </x:c>
      <x:c r="G9" s="11" t="inlineStr">
        <x:is>
          <x:t xml:space="preserve">陆地</x:t>
        </x:is>
      </x:c>
      <x:c r="H9" s="13" t="n">
        <x:v>0</x:v>
      </x:c>
      <x:c r="I9" s="13" t="n">
        <x:v>1</x:v>
      </x:c>
      <x:c r="J9" s="13" t="n">
        <x:v>0</x:v>
      </x:c>
      <x:c r="K9" s="11" t="inlineStr">
        <x:is>
          <x:t xml:space="preserve">building.farm_field</x:t>
        </x:is>
      </x:c>
      <x:c r="L9" s="11" t="inlineStr">
        <x:is>
          <x:t xml:space="preserve">否</x:t>
        </x:is>
      </x:c>
      <x:c r="M9" s="11" t="inlineStr">
        <x:is>
          <x:t xml:space="preserve">否</x:t>
        </x:is>
      </x:c>
      <x:c r="N9" s="13" t="n">
        <x:v>0</x:v>
      </x:c>
      <x:c r="O9" s="11" t="inlineStr">
        <x:is>
          <x:t xml:space="preserve">是</x:t>
        </x:is>
      </x:c>
      <x:c r="P9" s="11" t="inlineStr">
        <x:is>
          <x:t xml:space="preserve">否</x:t>
        </x:is>
      </x:c>
      <x:c r="Q9" s="13" t="n">
        <x:v>0</x:v>
      </x:c>
      <x:c r="R9" s="13" t="n">
        <x:v>100</x:v>
      </x:c>
      <x:c r="S9" s="11" t="inlineStr">
        <x:is>
          <x:t xml:space="preserve">作物表当前为空，待策划配置</x:t>
        </x:is>
      </x:c>
      <x:c r="T9" s="100" t="str"/>
      <x:c r="U9" s="100" t="str">
        <x:v>none</x:v>
      </x:c>
    </x:row>
    <x:row r="10">
      <x:c r="A10" s="11" t="inlineStr">
        <x:is>
          <x:t xml:space="preserve">building.market</x:t>
        </x:is>
      </x:c>
      <x:c r="B10" s="11" t="inlineStr">
        <x:is>
          <x:t xml:space="preserve">市场</x:t>
        </x:is>
      </x:c>
      <x:c r="C10" s="11" t="inlineStr">
        <x:is>
          <x:t xml:space="preserve">经济</x:t>
        </x:is>
      </x:c>
      <x:c r="D10" s="13" t="n">
        <x:v>1</x:v>
      </x:c>
      <x:c r="E10" s="13" t="n">
        <x:v>1</x:v>
      </x:c>
      <x:c r="F10" s="11" t="inlineStr">
        <x:is>
          <x:t xml:space="preserve">否</x:t>
        </x:is>
      </x:c>
      <x:c r="G10" s="11" t="inlineStr">
        <x:is>
          <x:t xml:space="preserve">陆地</x:t>
        </x:is>
      </x:c>
      <x:c r="H10" s="13" t="n">
        <x:v>0</x:v>
      </x:c>
      <x:c r="I10" s="13" t="n">
        <x:v>1</x:v>
      </x:c>
      <x:c r="J10" s="13" t="n">
        <x:v>0</x:v>
      </x:c>
      <x:c r="K10" s="11" t="inlineStr">
        <x:is>
          <x:t xml:space="preserve">building.market</x:t>
        </x:is>
      </x:c>
      <x:c r="L10" s="11" t="inlineStr">
        <x:is>
          <x:t xml:space="preserve">否</x:t>
        </x:is>
      </x:c>
      <x:c r="M10" s="11" t="inlineStr">
        <x:is>
          <x:t xml:space="preserve">否</x:t>
        </x:is>
      </x:c>
      <x:c r="N10" s="13" t="n">
        <x:v>0</x:v>
      </x:c>
      <x:c r="O10" s="11" t="inlineStr">
        <x:is>
          <x:t xml:space="preserve">是</x:t>
        </x:is>
      </x:c>
      <x:c r="P10" s="11" t="inlineStr">
        <x:is>
          <x:t xml:space="preserve">是</x:t>
        </x:is>
      </x:c>
      <x:c r="Q10" s="13" t="n">
        <x:v>10</x:v>
      </x:c>
      <x:c r="R10" s="13" t="n">
        <x:v>100</x:v>
      </x:c>
      <x:c r="S10" s="11" t="inlineStr">
        <x:is>
          <x:t xml:space="preserve">满岗位时作为资源提供点并按价值结算金币</x:t>
        </x:is>
      </x:c>
      <x:c r="T10" s="100" t="str"/>
      <x:c r="U10" s="100" t="str">
        <x:v>none</x:v>
      </x:c>
    </x:row>
    <x:row r="11">
      <x:c r="A11" s="11" t="inlineStr">
        <x:is>
          <x:t xml:space="preserve">building.warehouse</x:t>
        </x:is>
      </x:c>
      <x:c r="B11" s="11" t="inlineStr">
        <x:is>
          <x:t xml:space="preserve">仓库</x:t>
        </x:is>
      </x:c>
      <x:c r="C11" s="27" t="inlineStr">
        <x:is>
          <x:t xml:space="preserve">人口|经济|工业</x:t>
        </x:is>
      </x:c>
      <x:c r="D11" s="13" t="n">
        <x:v>2</x:v>
      </x:c>
      <x:c r="E11" s="13" t="n">
        <x:v>2</x:v>
      </x:c>
      <x:c r="F11" s="11" t="inlineStr">
        <x:is>
          <x:t xml:space="preserve">否</x:t>
        </x:is>
      </x:c>
      <x:c r="G11" s="11" t="inlineStr">
        <x:is>
          <x:t xml:space="preserve">陆地</x:t>
        </x:is>
      </x:c>
      <x:c r="H11" s="13" t="n">
        <x:v>0</x:v>
      </x:c>
      <x:c r="I11" s="13" t="n">
        <x:v>3</x:v>
      </x:c>
      <x:c r="J11" s="13" t="n">
        <x:v>0</x:v>
      </x:c>
      <x:c r="K11" s="11" t="inlineStr">
        <x:is>
          <x:t xml:space="preserve">building.warehouse</x:t>
        </x:is>
      </x:c>
      <x:c r="L11" s="11" t="inlineStr">
        <x:is>
          <x:t xml:space="preserve">否</x:t>
        </x:is>
      </x:c>
      <x:c r="M11" s="11" t="inlineStr">
        <x:is>
          <x:t xml:space="preserve">否</x:t>
        </x:is>
      </x:c>
      <x:c r="N11" s="13" t="n">
        <x:v>30</x:v>
      </x:c>
      <x:c r="O11" s="11" t="inlineStr">
        <x:is>
          <x:t xml:space="preserve">是</x:t>
        </x:is>
      </x:c>
      <x:c r="P11" s="11" t="inlineStr">
        <x:is>
          <x:t xml:space="preserve">否</x:t>
        </x:is>
      </x:c>
      <x:c r="Q11" s="13" t="n">
        <x:v>0</x:v>
      </x:c>
      <x:c r="R11" s="13" t="n">
        <x:v>100</x:v>
      </x:c>
      <x:c r="S11" s="11" t="inlineStr">
        <x:is>
          <x:t xml:space="preserve">动态库存容量；维护费、经验和岗位阈值见等级_仓库</x:t>
        </x:is>
      </x:c>
      <x:c r="T11" s="100" t="str"/>
      <x:c r="U11" s="100" t="str">
        <x:v>none</x:v>
      </x:c>
    </x:row>
    <x:row r="12">
      <x:c r="A12" s="11" t="inlineStr">
        <x:is>
          <x:t xml:space="preserve">building.road</x:t>
        </x:is>
      </x:c>
      <x:c r="B12" s="11" t="inlineStr">
        <x:is>
          <x:t xml:space="preserve">泥路</x:t>
        </x:is>
      </x:c>
      <x:c r="C12" s="11" t="inlineStr">
        <x:is>
          <x:t xml:space="preserve">交通</x:t>
        </x:is>
      </x:c>
      <x:c r="D12" s="13" t="n">
        <x:v>1</x:v>
      </x:c>
      <x:c r="E12" s="13" t="n">
        <x:v>1</x:v>
      </x:c>
      <x:c r="F12" s="11" t="inlineStr">
        <x:is>
          <x:t xml:space="preserve">否</x:t>
        </x:is>
      </x:c>
      <x:c r="G12" s="11" t="inlineStr">
        <x:is>
          <x:t xml:space="preserve">陆地</x:t>
        </x:is>
      </x:c>
      <x:c r="H12" s="13" t="n">
        <x:v>5</x:v>
      </x:c>
      <x:c r="I12" s="13" t="n">
        <x:v>1</x:v>
      </x:c>
      <x:c r="J12" s="13" t="n">
        <x:v>0</x:v>
      </x:c>
      <x:c r="K12" s="11" t="inlineStr">
        <x:is>
          <x:t xml:space="preserve">building.road</x:t>
        </x:is>
      </x:c>
      <x:c r="L12" s="11" t="inlineStr">
        <x:is>
          <x:t xml:space="preserve">否</x:t>
        </x:is>
      </x:c>
      <x:c r="M12" s="11" t="inlineStr">
        <x:is>
          <x:t xml:space="preserve">否</x:t>
        </x:is>
      </x:c>
      <x:c r="N12" s="13" t="n">
        <x:v>0</x:v>
      </x:c>
      <x:c r="O12" s="11" t="inlineStr">
        <x:is>
          <x:t xml:space="preserve">是</x:t>
        </x:is>
      </x:c>
      <x:c r="P12" s="11" t="inlineStr">
        <x:is>
          <x:t xml:space="preserve">否</x:t>
        </x:is>
      </x:c>
      <x:c r="Q12" s="13" t="n">
        <x:v>0</x:v>
      </x:c>
      <x:c r="R12" s="13" t="n">
        <x:v>100</x:v>
      </x:c>
      <x:c r="S12" s="11" t="inlineStr">
        <x:is>
          <x:t xml:space="preserve">移动阻力 5</x:t>
        </x:is>
      </x:c>
      <x:c r="T12" s="100" t="str"/>
      <x:c r="U12" s="100" t="str">
        <x:v>none</x:v>
      </x:c>
    </x:row>
    <x:row r="13">
      <x:c r="A13" s="11" t="inlineStr">
        <x:is>
          <x:t xml:space="preserve">building.tree</x:t>
        </x:is>
      </x:c>
      <x:c r="B13" s="11" t="inlineStr">
        <x:is>
          <x:t xml:space="preserve">树木</x:t>
        </x:is>
      </x:c>
      <x:c r="C13" s="11" t="inlineStr">
        <x:is>
          <x:t xml:space="preserve">装饰</x:t>
        </x:is>
      </x:c>
      <x:c r="D13" s="13" t="n">
        <x:v>1</x:v>
      </x:c>
      <x:c r="E13" s="13" t="n">
        <x:v>1</x:v>
      </x:c>
      <x:c r="F13" s="11" t="inlineStr">
        <x:is>
          <x:t xml:space="preserve">否</x:t>
        </x:is>
      </x:c>
      <x:c r="G13" s="11" t="inlineStr">
        <x:is>
          <x:t xml:space="preserve">陆地</x:t>
        </x:is>
      </x:c>
      <x:c r="H13" s="13" t="n">
        <x:v>0</x:v>
      </x:c>
      <x:c r="I13" s="13" t="n">
        <x:v>1</x:v>
      </x:c>
      <x:c r="J13" s="13" t="n">
        <x:v>0</x:v>
      </x:c>
      <x:c r="K13" s="11" t="inlineStr">
        <x:is>
          <x:t xml:space="preserve">building.tree</x:t>
        </x:is>
      </x:c>
      <x:c r="L13" s="11" t="inlineStr">
        <x:is>
          <x:t xml:space="preserve">否</x:t>
        </x:is>
      </x:c>
      <x:c r="M13" s="11" t="inlineStr">
        <x:is>
          <x:t xml:space="preserve">否</x:t>
        </x:is>
      </x:c>
      <x:c r="N13" s="13" t="n">
        <x:v>0</x:v>
      </x:c>
      <x:c r="O13" s="11" t="inlineStr">
        <x:is>
          <x:t xml:space="preserve">是</x:t>
        </x:is>
      </x:c>
      <x:c r="P13" s="11" t="inlineStr">
        <x:is>
          <x:t xml:space="preserve">否</x:t>
        </x:is>
      </x:c>
      <x:c r="Q13" s="13" t="n">
        <x:v>0</x:v>
      </x:c>
      <x:c r="R13" s="13" t="n">
        <x:v>100</x:v>
      </x:c>
      <x:c r="S13" s="11" t="inlineStr">
        <x:is>
          <x:t xml:space="preserve">一个家族，八个视觉 Style</x:t>
        </x:is>
      </x:c>
      <x:c r="T13" s="100" t="str"/>
      <x:c r="U13" s="100" t="str">
        <x:v>none</x:v>
      </x:c>
    </x:row>
    <x:row r="14">
      <x:c r="A14" s="11" t="inlineStr">
        <x:is>
          <x:t xml:space="preserve">building.sculpture</x:t>
        </x:is>
      </x:c>
      <x:c r="B14" s="11" t="inlineStr">
        <x:is>
          <x:t xml:space="preserve">雕塑</x:t>
        </x:is>
      </x:c>
      <x:c r="C14" s="11" t="inlineStr">
        <x:is>
          <x:t xml:space="preserve">装饰</x:t>
        </x:is>
      </x:c>
      <x:c r="D14" s="13" t="n">
        <x:v>1</x:v>
      </x:c>
      <x:c r="E14" s="13" t="n">
        <x:v>1</x:v>
      </x:c>
      <x:c r="F14" s="11" t="inlineStr">
        <x:is>
          <x:t xml:space="preserve">否</x:t>
        </x:is>
      </x:c>
      <x:c r="G14" s="11" t="inlineStr">
        <x:is>
          <x:t xml:space="preserve">陆地</x:t>
        </x:is>
      </x:c>
      <x:c r="H14" s="13" t="n">
        <x:v>0</x:v>
      </x:c>
      <x:c r="I14" s="13" t="n">
        <x:v>1</x:v>
      </x:c>
      <x:c r="J14" s="13" t="n">
        <x:v>0</x:v>
      </x:c>
      <x:c r="K14" s="11" t="inlineStr">
        <x:is>
          <x:t xml:space="preserve">building.sculpture</x:t>
        </x:is>
      </x:c>
      <x:c r="L14" s="11" t="inlineStr">
        <x:is>
          <x:t xml:space="preserve">是</x:t>
        </x:is>
      </x:c>
      <x:c r="M14" s="11" t="inlineStr">
        <x:is>
          <x:t xml:space="preserve">是</x:t>
        </x:is>
      </x:c>
      <x:c r="N14" s="13" t="n">
        <x:v>0</x:v>
      </x:c>
      <x:c r="O14" s="11" t="inlineStr">
        <x:is>
          <x:t xml:space="preserve">是</x:t>
        </x:is>
      </x:c>
      <x:c r="P14" s="11" t="inlineStr">
        <x:is>
          <x:t xml:space="preserve">否</x:t>
        </x:is>
      </x:c>
      <x:c r="Q14" s="13" t="n">
        <x:v>0</x:v>
      </x:c>
      <x:c r="R14" s="13" t="n">
        <x:v>100</x:v>
      </x:c>
      <x:c r="S14" s="11" t="inlineStr">
        <x:is>
          <x:t xml:space="preserve">蓝图由 TN_4_3_石工术解锁；女神/神鹿两个 Style 共用四邻格美化规则</x:t>
        </x:is>
      </x:c>
      <x:c r="T14" s="100" t="str"/>
      <x:c r="U14" s="100" t="str">
        <x:v>technology.TN_4_3_石工术</x:v>
      </x:c>
    </x:row>
    <x:row r="15">
      <x:c r="A15" s="3" t="str">
        <x:v>building.quarry</x:v>
      </x:c>
      <x:c r="B15" s="3" t="str">
        <x:v>采石场</x:v>
      </x:c>
      <x:c r="C15" s="3" t="str">
        <x:v>工业</x:v>
      </x:c>
      <x:c r="D15" s="15" t="n">
        <x:v>3</x:v>
      </x:c>
      <x:c r="E15" s="15" t="n">
        <x:v>3</x:v>
      </x:c>
      <x:c r="F15" s="3" t="str">
        <x:v>否</x:v>
      </x:c>
      <x:c r="G15" s="3" t="str">
        <x:v>陆地|石矿</x:v>
      </x:c>
      <x:c r="H15" s="15" t="n">
        <x:v>0</x:v>
      </x:c>
      <x:c r="I15" s="15" t="n">
        <x:v>3</x:v>
      </x:c>
      <x:c r="J15" s="15" t="n">
        <x:v>0</x:v>
      </x:c>
      <x:c r="K15" s="3" t="str">
        <x:v>building.quarry</x:v>
      </x:c>
      <x:c r="L15" s="3" t="str">
        <x:v>是</x:v>
      </x:c>
      <x:c r="M15" s="3" t="str">
        <x:v>是</x:v>
      </x:c>
      <x:c r="N15" s="15" t="n">
        <x:v>40</x:v>
      </x:c>
      <x:c r="O15" s="3" t="str">
        <x:v>是</x:v>
      </x:c>
      <x:c r="P15" s="3" t="str">
        <x:v>否</x:v>
      </x:c>
      <x:c r="Q15" s="15" t="n">
        <x:v>0</x:v>
      </x:c>
      <x:c r="R15" s="15" t="n">
        <x:v>100</x:v>
      </x:c>
      <x:c r="S15" s="3" t="str">
        <x:v>3×3 的每个占地格都必须同时是陆地和石矿；采矿解锁蓝图；岗位、维护费与生产见等级专表</x:v>
      </x:c>
      <x:c r="T15" s="100" t="str"/>
      <x:c r="U15" s="100" t="str">
        <x:v>technology.TN_5_3_采矿</x:v>
      </x:c>
    </x:row>
    <x:row r="16">
      <x:c r="A16" s="3" t="str">
        <x:v>building.hospital</x:v>
      </x:c>
      <x:c r="B16" s="3" t="str">
        <x:v>医院</x:v>
      </x:c>
      <x:c r="C16" s="3" t="str">
        <x:v>人口|市政</x:v>
      </x:c>
      <x:c r="D16" s="15" t="n">
        <x:v>2</x:v>
      </x:c>
      <x:c r="E16" s="15" t="n">
        <x:v>2</x:v>
      </x:c>
      <x:c r="F16" s="3" t="str">
        <x:v>否</x:v>
      </x:c>
      <x:c r="G16" s="3" t="str">
        <x:v>陆地</x:v>
      </x:c>
      <x:c r="H16" s="15" t="n">
        <x:v>0</x:v>
      </x:c>
      <x:c r="I16" s="15" t="n">
        <x:v>2</x:v>
      </x:c>
      <x:c r="J16" s="15" t="n">
        <x:v>0</x:v>
      </x:c>
      <x:c r="K16" s="3" t="str">
        <x:v>building.hospital</x:v>
      </x:c>
      <x:c r="L16" s="3" t="str">
        <x:v>否</x:v>
      </x:c>
      <x:c r="M16" s="3" t="str">
        <x:v>否</x:v>
      </x:c>
      <x:c r="N16" s="15" t="n">
        <x:v>35</x:v>
      </x:c>
      <x:c r="O16" s="3" t="str">
        <x:v>是</x:v>
      </x:c>
      <x:c r="P16" s="3" t="str">
        <x:v>否</x:v>
      </x:c>
      <x:c r="Q16" s="15" t="n">
        <x:v>0</x:v>
      </x:c>
      <x:c r="R16" s="15" t="n">
        <x:v>100</x:v>
      </x:c>
      <x:c r="S16" s="3" t="str">
        <x:v>2×2 公共服务建筑；岗位、维护费、运营经验与分档医疗范围见等级专表</x:v>
      </x:c>
      <x:c r="T16" s="100" t="str"/>
      <x:c r="U16" s="100" t="str">
        <x:v>none</x:v>
      </x:c>
    </x:row>
    <x:row r="17">
      <x:c r="A17" s="148" t="str">
        <x:v>building.police_station</x:v>
      </x:c>
      <x:c r="B17" s="148" t="str">
        <x:v>警局</x:v>
      </x:c>
      <x:c r="C17" s="148" t="str">
        <x:v>市政</x:v>
      </x:c>
      <x:c r="D17" s="149" t="n">
        <x:v>2</x:v>
      </x:c>
      <x:c r="E17" s="149" t="n">
        <x:v>2</x:v>
      </x:c>
      <x:c r="F17" s="148" t="str">
        <x:v>否</x:v>
      </x:c>
      <x:c r="G17" s="148" t="str">
        <x:v>陆地</x:v>
      </x:c>
      <x:c r="H17" s="149" t="n">
        <x:v>0</x:v>
      </x:c>
      <x:c r="I17" s="149" t="n">
        <x:v>2</x:v>
      </x:c>
      <x:c r="J17" s="149" t="n">
        <x:v>0</x:v>
      </x:c>
      <x:c r="K17" s="148" t="str">
        <x:v>building.police_station</x:v>
      </x:c>
      <x:c r="L17" s="148" t="str">
        <x:v>是</x:v>
      </x:c>
      <x:c r="M17" s="148" t="str">
        <x:v>是</x:v>
      </x:c>
      <x:c r="N17" s="149" t="n">
        <x:v>36</x:v>
      </x:c>
      <x:c r="O17" s="148" t="str">
        <x:v>是</x:v>
      </x:c>
      <x:c r="P17" s="148" t="str">
        <x:v>否</x:v>
      </x:c>
      <x:c r="Q17" s="149" t="n">
        <x:v>0</x:v>
      </x:c>
      <x:c r="R17" s="149" t="n">
        <x:v>100</x:v>
      </x:c>
      <x:c r="S17" s="148" t="str">
        <x:v>2×2 市政服务建筑；法律解锁蓝图；岗位、维护费、运营经验与分档治安范围见等级专表</x:v>
      </x:c>
      <x:c r="T17" s="148"/>
      <x:c r="U17" s="148" t="str">
        <x:v>technology.TN_1_5_法律</x:v>
      </x:c>
    </x:row>
    <x:row r="18">
      <x:c r="A18" s="3" t="n"/>
      <x:c r="B18" s="3" t="n"/>
      <x:c r="C18" s="3" t="n"/>
      <x:c r="D18" s="15" t="n"/>
      <x:c r="E18" s="15" t="n"/>
      <x:c r="F18" s="3" t="n"/>
      <x:c r="G18" s="3" t="n"/>
      <x:c r="H18" s="15" t="n"/>
      <x:c r="I18" s="15" t="n"/>
      <x:c r="J18" s="15" t="n"/>
      <x:c r="K18" s="3" t="n"/>
      <x:c r="L18" s="3" t="n"/>
      <x:c r="M18" s="3" t="n"/>
      <x:c r="N18" s="15" t="n"/>
      <x:c r="O18" s="3" t="n"/>
      <x:c r="P18" s="3" t="n"/>
      <x:c r="Q18" s="15" t="n"/>
      <x:c r="R18" s="15" t="n"/>
      <x:c r="S18" s="3" t="n"/>
      <x:c r="T18" s="100"/>
      <x:c r="U18" s="100"/>
    </x:row>
    <x:row r="19">
      <x:c r="A19" s="3" t="n"/>
      <x:c r="B19" s="3" t="n"/>
      <x:c r="C19" s="3" t="n"/>
      <x:c r="D19" s="15" t="n"/>
      <x:c r="E19" s="15" t="n"/>
      <x:c r="F19" s="3" t="n"/>
      <x:c r="G19" s="3" t="n"/>
      <x:c r="H19" s="15" t="n"/>
      <x:c r="I19" s="15" t="n"/>
      <x:c r="J19" s="15" t="n"/>
      <x:c r="K19" s="3" t="n"/>
      <x:c r="L19" s="3" t="n"/>
      <x:c r="M19" s="3" t="n"/>
      <x:c r="N19" s="15" t="n"/>
      <x:c r="O19" s="3" t="n"/>
      <x:c r="P19" s="3" t="n"/>
      <x:c r="Q19" s="15" t="n"/>
      <x:c r="R19" s="15" t="n"/>
      <x:c r="S19" s="3" t="n"/>
      <x:c r="T19" s="100"/>
      <x:c r="U19" s="100"/>
    </x:row>
    <x:row r="20">
      <x:c r="A20" s="3" t="n"/>
      <x:c r="B20" s="3" t="n"/>
      <x:c r="C20" s="3" t="n"/>
      <x:c r="D20" s="15" t="n"/>
      <x:c r="E20" s="15" t="n"/>
      <x:c r="F20" s="3" t="n"/>
      <x:c r="G20" s="3" t="n"/>
      <x:c r="H20" s="15" t="n"/>
      <x:c r="I20" s="15" t="n"/>
      <x:c r="J20" s="15" t="n"/>
      <x:c r="K20" s="3" t="n"/>
      <x:c r="L20" s="3" t="n"/>
      <x:c r="M20" s="3" t="n"/>
      <x:c r="N20" s="15" t="n"/>
      <x:c r="O20" s="3" t="n"/>
      <x:c r="P20" s="3" t="n"/>
      <x:c r="Q20" s="15" t="n"/>
      <x:c r="R20" s="15" t="n"/>
      <x:c r="S20" s="3" t="n"/>
      <x:c r="T20" s="100"/>
      <x:c r="U20" s="100"/>
    </x:row>
    <x:row r="21">
      <x:c r="A21" s="3" t="n"/>
      <x:c r="B21" s="3" t="n"/>
      <x:c r="C21" s="3" t="n"/>
      <x:c r="D21" s="15" t="n"/>
      <x:c r="E21" s="15" t="n"/>
      <x:c r="F21" s="3" t="n"/>
      <x:c r="G21" s="3" t="n"/>
      <x:c r="H21" s="15" t="n"/>
      <x:c r="I21" s="15" t="n"/>
      <x:c r="J21" s="15" t="n"/>
      <x:c r="K21" s="3" t="n"/>
      <x:c r="L21" s="3" t="n"/>
      <x:c r="M21" s="3" t="n"/>
      <x:c r="N21" s="15" t="n"/>
      <x:c r="O21" s="3" t="n"/>
      <x:c r="P21" s="3" t="n"/>
      <x:c r="Q21" s="15" t="n"/>
      <x:c r="R21" s="15" t="n"/>
      <x:c r="S21" s="3" t="n"/>
      <x:c r="T21" s="100"/>
      <x:c r="U21" s="100"/>
    </x:row>
    <x:row r="22">
      <x:c r="A22" s="3" t="n"/>
      <x:c r="B22" s="3" t="n"/>
      <x:c r="C22" s="3" t="n"/>
      <x:c r="D22" s="15" t="n"/>
      <x:c r="E22" s="15" t="n"/>
      <x:c r="F22" s="3" t="n"/>
      <x:c r="G22" s="3" t="n"/>
      <x:c r="H22" s="15" t="n"/>
      <x:c r="I22" s="15" t="n"/>
      <x:c r="J22" s="15" t="n"/>
      <x:c r="K22" s="3" t="n"/>
      <x:c r="L22" s="3" t="n"/>
      <x:c r="M22" s="3" t="n"/>
      <x:c r="N22" s="15" t="n"/>
      <x:c r="O22" s="3" t="n"/>
      <x:c r="P22" s="3" t="n"/>
      <x:c r="Q22" s="15" t="n"/>
      <x:c r="R22" s="15" t="n"/>
      <x:c r="S22" s="3" t="n"/>
      <x:c r="T22" s="100"/>
      <x:c r="U22" s="100"/>
    </x:row>
    <x:row r="23">
      <x:c r="A23" s="3" t="n"/>
      <x:c r="B23" s="3" t="n"/>
      <x:c r="C23" s="3" t="n"/>
      <x:c r="D23" s="15" t="n"/>
      <x:c r="E23" s="15" t="n"/>
      <x:c r="F23" s="3" t="n"/>
      <x:c r="G23" s="3" t="n"/>
      <x:c r="H23" s="15" t="n"/>
      <x:c r="I23" s="15" t="n"/>
      <x:c r="J23" s="15" t="n"/>
      <x:c r="K23" s="3" t="n"/>
      <x:c r="L23" s="3" t="n"/>
      <x:c r="M23" s="3" t="n"/>
      <x:c r="N23" s="15" t="n"/>
      <x:c r="O23" s="3" t="n"/>
      <x:c r="P23" s="3" t="n"/>
      <x:c r="Q23" s="15" t="n"/>
      <x:c r="R23" s="15" t="n"/>
      <x:c r="S23" s="3" t="n"/>
      <x:c r="T23" s="100"/>
      <x:c r="U23" s="100"/>
    </x:row>
    <x:row r="24">
      <x:c r="A24" s="3" t="n"/>
      <x:c r="B24" s="3" t="n"/>
      <x:c r="C24" s="3" t="n"/>
      <x:c r="D24" s="15" t="n"/>
      <x:c r="E24" s="15" t="n"/>
      <x:c r="F24" s="3" t="n"/>
      <x:c r="G24" s="3" t="n"/>
      <x:c r="H24" s="15" t="n"/>
      <x:c r="I24" s="15" t="n"/>
      <x:c r="J24" s="15" t="n"/>
      <x:c r="K24" s="3" t="n"/>
      <x:c r="L24" s="3" t="n"/>
      <x:c r="M24" s="3" t="n"/>
      <x:c r="N24" s="15" t="n"/>
      <x:c r="O24" s="3" t="n"/>
      <x:c r="P24" s="3" t="n"/>
      <x:c r="Q24" s="15" t="n"/>
      <x:c r="R24" s="15" t="n"/>
      <x:c r="S24" s="3" t="n"/>
      <x:c r="T24" s="100"/>
      <x:c r="U24" s="100"/>
    </x:row>
    <x:row r="25">
      <x:c r="T25" s="100"/>
      <x:c r="U25" s="100"/>
    </x:row>
    <x:row r="26">
      <x:c r="T26" s="100"/>
      <x:c r="U26" s="100"/>
    </x:row>
    <x:row r="27">
      <x:c r="T27" s="100"/>
      <x:c r="U27" s="100"/>
    </x:row>
    <x:row r="28">
      <x:c r="T28" s="100"/>
      <x:c r="U28" s="100"/>
    </x:row>
    <x:row r="29">
      <x:c r="T29" s="100"/>
      <x:c r="U29" s="100"/>
    </x:row>
    <x:row r="30">
      <x:c r="T30" s="100"/>
      <x:c r="U30" s="100"/>
    </x:row>
    <x:row r="31">
      <x:c r="T31" s="100"/>
      <x:c r="U31" s="100"/>
    </x:row>
    <x:row r="32">
      <x:c r="T32" s="100"/>
      <x:c r="U32" s="100"/>
    </x:row>
    <x:row r="33">
      <x:c r="T33" s="100"/>
      <x:c r="U33" s="100"/>
    </x:row>
    <x:row r="34">
      <x:c r="T34" s="100"/>
      <x:c r="U34" s="100"/>
    </x:row>
    <x:row r="35">
      <x:c r="T35" s="100"/>
      <x:c r="U35" s="100"/>
    </x:row>
    <x:row r="36">
      <x:c r="T36" s="100"/>
      <x:c r="U36" s="100"/>
    </x:row>
    <x:row r="37">
      <x:c r="T37" s="100"/>
      <x:c r="U37" s="100"/>
    </x:row>
    <x:row r="38">
      <x:c r="T38" s="100"/>
      <x:c r="U38" s="100"/>
    </x:row>
    <x:row r="39">
      <x:c r="T39" s="100"/>
      <x:c r="U39" s="100"/>
    </x:row>
    <x:row r="40">
      <x:c r="T40" s="100"/>
      <x:c r="U40" s="100"/>
    </x:row>
  </x:sheetData>
  <x:mergeCells>
    <x:mergeCell ref="A1:U1"/>
    <x:mergeCell ref="A2:U2"/>
  </x:mergeCells>
  <x:dataValidations count="2">
    <x:dataValidation type="list" allowBlank="0" showDropDown="0" showInputMessage="0" showErrorMessage="0" sqref="C5:C24">
      <x:formula1>"人口,农业,工业,经济,科研,市政,军事,交通,装饰,奇观"</x:formula1>
    </x:dataValidation>
    <x:dataValidation type="list" allowBlank="0" showDropDown="0" showInputMessage="0" showErrorMessage="0" sqref="F5:F24 L5:M24 O5:P24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1167ad373348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2" width="16" style="42" customWidth="1"/>
    <x:col min="3" max="3" width="10" style="42" customWidth="1"/>
    <x:col min="4" max="4" width="40" style="42" customWidth="1"/>
  </x:cols>
  <x:sheetData>
    <x:row r="1" s="42" customFormat="1" ht="30" customHeight="1">
      <x:c r="A1" s="1" t="inlineStr">
        <x:is>
          <x:t xml:space="preserve">放置消耗</x:t>
        </x:is>
      </x:c>
    </x:row>
    <x:row r="2" s="42" customFormat="1" ht="38" customHeight="1">
      <x:c r="A2" s="2" t="inlineStr">
        <x:is>
          <x:t xml:space="preserve">确认放置时一次性扣除。一行一种 ItemId；无费用的建筑不写占位行。</x:t>
        </x:is>
      </x:c>
    </x:row>
    <x:row r="3">
      <x:c r="A3" s="3" t="n"/>
      <x:c r="B3" s="3" t="n"/>
      <x:c r="C3" s="3" t="n"/>
      <x:c r="D3" s="3" t="n"/>
    </x:row>
    <x:row r="4" s="42" customFormat="1" ht="30" customHeight="1">
      <x:c r="A4" s="4" t="inlineStr">
        <x:is>
          <x:t xml:space="preserve">FamilyId</x:t>
        </x:is>
      </x:c>
      <x:c r="B4" s="5" t="inlineStr">
        <x:is>
          <x:t xml:space="preserve">ItemId</x:t>
        </x:is>
      </x:c>
      <x:c r="C4" s="5" t="inlineStr">
        <x:is>
          <x:t xml:space="preserve">数量</x:t>
        </x:is>
      </x:c>
      <x:c r="D4" s="6" t="inlineStr">
        <x:is>
          <x:t xml:space="preserve">说明</x:t>
        </x:is>
      </x:c>
    </x:row>
    <x:row r="5">
      <x:c r="A5" s="7" t="inlineStr">
        <x:is>
          <x:t xml:space="preserve">building.residential_house</x:t>
        </x:is>
      </x:c>
      <x:c r="B5" s="7" t="inlineStr">
        <x:is>
          <x:t xml:space="preserve">金币</x:t>
        </x:is>
      </x:c>
      <x:c r="C5" s="9" t="n">
        <x:v>30</x:v>
      </x:c>
      <x:c r="D5" s="7" t="inlineStr">
        <x:is>
          <x:t xml:space="preserve">放下施工实例时支付</x:t>
        </x:is>
      </x:c>
    </x:row>
    <x:row r="6">
      <x:c r="A6" s="11" t="inlineStr">
        <x:is>
          <x:t xml:space="preserve">building.residential_house</x:t>
        </x:is>
      </x:c>
      <x:c r="B6" s="11" t="inlineStr">
        <x:is>
          <x:t xml:space="preserve">石头</x:t>
        </x:is>
      </x:c>
      <x:c r="C6" s="13" t="n">
        <x:v>1</x:v>
      </x:c>
      <x:c r="D6" s="11" t="inlineStr">
        <x:is>
          <x:t xml:space="preserve">放下施工实例时支付</x:t>
        </x:is>
      </x:c>
    </x:row>
    <x:row r="7">
      <x:c r="A7" s="11" t="inlineStr">
        <x:is>
          <x:t xml:space="preserve">building.residential_house</x:t>
        </x:is>
      </x:c>
      <x:c r="B7" s="11" t="inlineStr">
        <x:is>
          <x:t xml:space="preserve">原木</x:t>
        </x:is>
      </x:c>
      <x:c r="C7" s="13" t="n">
        <x:v>1</x:v>
      </x:c>
      <x:c r="D7" s="11" t="inlineStr">
        <x:is>
          <x:t xml:space="preserve">放下施工实例时支付</x:t>
        </x:is>
      </x:c>
    </x:row>
    <x:row r="8">
      <x:c r="A8" s="11" t="inlineStr">
        <x:is>
          <x:t xml:space="preserve">building.tree</x:t>
        </x:is>
      </x:c>
      <x:c r="B8" s="11" t="inlineStr">
        <x:is>
          <x:t xml:space="preserve">金币</x:t>
        </x:is>
      </x:c>
      <x:c r="C8" s="13" t="n">
        <x:v>10</x:v>
      </x:c>
      <x:c r="D8" s="11" t="inlineStr">
        <x:is>
          <x:t xml:space="preserve">所有 Tree Style 共用</x:t>
        </x:is>
      </x:c>
    </x:row>
    <x:row r="9">
      <x:c r="A9" s="11" t="inlineStr">
        <x:is>
          <x:t xml:space="preserve">building.tree</x:t>
        </x:is>
      </x:c>
      <x:c r="B9" s="11" t="inlineStr">
        <x:is>
          <x:t xml:space="preserve">树苗</x:t>
        </x:is>
      </x:c>
      <x:c r="C9" s="13" t="n">
        <x:v>1</x:v>
      </x:c>
      <x:c r="D9" s="11" t="inlineStr">
        <x:is>
          <x:t xml:space="preserve">所有 Tree Style 共用</x:t>
        </x:is>
      </x:c>
    </x:row>
    <x:row r="10">
      <x:c r="A10" s="11" t="inlineStr">
        <x:is>
          <x:t xml:space="preserve">building.warehouse</x:t>
        </x:is>
      </x:c>
      <x:c r="B10" s="11" t="inlineStr">
        <x:is>
          <x:t xml:space="preserve">金币</x:t>
        </x:is>
      </x:c>
      <x:c r="C10" s="13" t="n">
        <x:v>30</x:v>
      </x:c>
      <x:c r="D10" s="11" t="inlineStr">
        <x:is>
          <x:t xml:space="preserve">放下施工实例时支付</x:t>
        </x:is>
      </x:c>
    </x:row>
    <x:row r="11">
      <x:c r="A11" s="11" t="inlineStr">
        <x:is>
          <x:t xml:space="preserve">building.sculpture</x:t>
        </x:is>
      </x:c>
      <x:c r="B11" s="11" t="inlineStr">
        <x:is>
          <x:t xml:space="preserve">金币</x:t>
        </x:is>
      </x:c>
      <x:c r="C11" s="13" t="n">
        <x:v>100</x:v>
      </x:c>
      <x:c r="D11" s="11" t="inlineStr">
        <x:is>
          <x:t xml:space="preserve">确认放置时支付</x:t>
        </x:is>
      </x:c>
    </x:row>
    <x:row r="12">
      <x:c r="A12" s="3" t="str">
        <x:v>building.quarry</x:v>
      </x:c>
      <x:c r="B12" s="3" t="str">
        <x:v>金币</x:v>
      </x:c>
      <x:c r="C12" s="15" t="n">
        <x:v>100</x:v>
      </x:c>
      <x:c r="D12" s="3" t="str">
        <x:v>确认放置时支付</x:v>
      </x:c>
    </x:row>
    <x:row r="13">
      <x:c r="A13" s="3" t="str">
        <x:v>building.hospital</x:v>
      </x:c>
      <x:c r="B13" s="3" t="str">
        <x:v>金币</x:v>
      </x:c>
      <x:c r="C13" s="15" t="n">
        <x:v>20</x:v>
      </x:c>
      <x:c r="D13" s="3" t="str">
        <x:v>确认放置时支付</x:v>
      </x:c>
    </x:row>
    <x:row r="14">
      <x:c r="A14" s="148" t="str">
        <x:v>building.police_station</x:v>
      </x:c>
      <x:c r="B14" s="148" t="str">
        <x:v>金币</x:v>
      </x:c>
      <x:c r="C14" s="149" t="n">
        <x:v>20</x:v>
      </x:c>
      <x:c r="D14" s="148" t="str">
        <x:v>确认放置时支付</x:v>
      </x:c>
    </x:row>
    <x:row r="15">
      <x:c r="A15" s="3" t="n"/>
      <x:c r="B15" s="3" t="n"/>
      <x:c r="C15" s="15" t="n"/>
      <x:c r="D15" s="3" t="n"/>
    </x:row>
    <x:row r="16">
      <x:c r="A16" s="3" t="n"/>
      <x:c r="B16" s="3" t="n"/>
      <x:c r="C16" s="15" t="n"/>
      <x:c r="D16" s="3" t="n"/>
    </x:row>
    <x:row r="17">
      <x:c r="A17" s="3" t="n"/>
      <x:c r="B17" s="3" t="n"/>
      <x:c r="C17" s="15" t="n"/>
      <x:c r="D17" s="3" t="n"/>
    </x:row>
    <x:row r="18">
      <x:c r="A18" s="3" t="n"/>
      <x:c r="B18" s="3" t="n"/>
      <x:c r="C18" s="15" t="n"/>
      <x:c r="D18" s="3" t="n"/>
    </x:row>
    <x:row r="19">
      <x:c r="A19" s="3" t="n"/>
      <x:c r="B19" s="3" t="n"/>
      <x:c r="C19" s="15" t="n"/>
      <x:c r="D19" s="3" t="n"/>
    </x:row>
    <x:row r="20">
      <x:c r="A20" s="3" t="n"/>
      <x:c r="B20" s="3" t="n"/>
      <x:c r="C20" s="15" t="n"/>
      <x:c r="D20" s="3" t="n"/>
    </x:row>
    <x:row r="21">
      <x:c r="A21" s="3" t="n"/>
      <x:c r="B21" s="3" t="n"/>
      <x:c r="C21" s="15" t="n"/>
      <x:c r="D21" s="3" t="n"/>
    </x:row>
    <x:row r="22">
      <x:c r="A22" s="3" t="n"/>
      <x:c r="B22" s="3" t="n"/>
      <x:c r="C22" s="15" t="n"/>
      <x:c r="D22" s="3" t="n"/>
    </x:row>
    <x:row r="23">
      <x:c r="A23" s="3" t="n"/>
      <x:c r="B23" s="3" t="n"/>
      <x:c r="C23" s="15" t="n"/>
      <x:c r="D23" s="3" t="n"/>
    </x:row>
    <x:row r="24">
      <x:c r="A24" s="3" t="n"/>
      <x:c r="B24" s="3" t="n"/>
      <x:c r="C24" s="15" t="n"/>
      <x:c r="D24" s="3" t="n"/>
    </x:row>
  </x:sheetData>
  <x:mergeCells>
    <x:mergeCell ref="A1:D1"/>
    <x:mergeCell ref="A2:D2"/>
  </x:mergeCells>
  <x:dataValidations count="2">
    <x:dataValidation type="list" allowBlank="0" showDropDown="0" showInputMessage="0" showErrorMessage="0" sqref="A5:A24">
      <x:formula1>"building.player_home,building.residential_house,building.lumber_cabin,building.fishing_hut,building.farm_field,building.market,building.warehouse,building.road,building.tree"</x:formula1>
    </x:dataValidation>
    <x:dataValidation type="list" allowBlank="0" showDropDown="0" showInputMessage="0" showErrorMessage="0" sqref="B5:B24">
      <x:formula1>"金币,泥土,石头,原木,木板,树苗,蔬菜,鱼,黄金鱼"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125ede0de947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2" width="12" style="42" customWidth="1"/>
    <x:col min="3" max="3" width="16" style="42" customWidth="1"/>
    <x:col min="4" max="4" width="10" style="42" customWidth="1"/>
    <x:col min="5" max="5" width="36" style="42" customWidth="1"/>
  </x:cols>
  <x:sheetData>
    <x:row r="1" s="42" customFormat="1" ht="30" customHeight="1">
      <x:c r="A1" s="1" t="inlineStr">
        <x:is>
          <x:t xml:space="preserve">逐回合施工消耗</x:t>
        </x:is>
      </x:c>
    </x:row>
    <x:row r="2" s="42" customFormat="1" ht="38" customHeight="1">
      <x:c r="A2" s="2" t="inlineStr">
        <x:is>
          <x:t xml:space="preserve">回合序号从 1 开始，不能超过建筑家族表中的施工回合。空施工回合不写费用行。</x:t>
        </x:is>
      </x:c>
    </x:row>
    <x:row r="3">
      <x:c r="A3" s="3" t="n"/>
      <x:c r="B3" s="3" t="n"/>
      <x:c r="C3" s="3" t="n"/>
      <x:c r="D3" s="3" t="n"/>
      <x:c r="E3" s="3" t="n"/>
    </x:row>
    <x:row r="4" s="42" customFormat="1" ht="30" customHeight="1">
      <x:c r="A4" s="4" t="inlineStr">
        <x:is>
          <x:t xml:space="preserve">FamilyId</x:t>
        </x:is>
      </x:c>
      <x:c r="B4" s="5" t="inlineStr">
        <x:is>
          <x:t xml:space="preserve">回合序号</x:t>
        </x:is>
      </x:c>
      <x:c r="C4" s="5" t="inlineStr">
        <x:is>
          <x:t xml:space="preserve">ItemId</x:t>
        </x:is>
      </x:c>
      <x:c r="D4" s="5" t="inlineStr">
        <x:is>
          <x:t xml:space="preserve">数量</x:t>
        </x:is>
      </x:c>
      <x:c r="E4" s="6" t="inlineStr">
        <x:is>
          <x:t xml:space="preserve">说明</x:t>
        </x:is>
      </x:c>
    </x:row>
    <x:row r="5">
      <x:c r="A5" s="7" t="inlineStr">
        <x:is>
          <x:t xml:space="preserve">building.residential_house</x:t>
        </x:is>
      </x:c>
      <x:c r="B5" s="9" t="n">
        <x:v>1</x:v>
      </x:c>
      <x:c r="C5" s="9" t="inlineStr">
        <x:is>
          <x:t xml:space="preserve">泥土</x:t>
        </x:is>
      </x:c>
      <x:c r="D5" s="9" t="n">
        <x:v>10</x:v>
      </x:c>
      <x:c r="E5" s="7" t="inlineStr">
        <x:is>
          <x:t xml:space="preserve">第 1 施工阶段</x:t>
        </x:is>
      </x:c>
    </x:row>
    <x:row r="6">
      <x:c r="A6" s="11" t="inlineStr">
        <x:is>
          <x:t xml:space="preserve">building.residential_house</x:t>
        </x:is>
      </x:c>
      <x:c r="B6" s="13" t="n">
        <x:v>2</x:v>
      </x:c>
      <x:c r="C6" s="13" t="inlineStr">
        <x:is>
          <x:t xml:space="preserve">石头</x:t>
        </x:is>
      </x:c>
      <x:c r="D6" s="13" t="n">
        <x:v>10</x:v>
      </x:c>
      <x:c r="E6" s="11" t="inlineStr">
        <x:is>
          <x:t xml:space="preserve">第 2 施工阶段</x:t>
        </x:is>
      </x:c>
    </x:row>
    <x:row r="7">
      <x:c r="A7" s="11" t="inlineStr">
        <x:is>
          <x:t xml:space="preserve">building.residential_house</x:t>
        </x:is>
      </x:c>
      <x:c r="B7" s="13" t="n">
        <x:v>3</x:v>
      </x:c>
      <x:c r="C7" s="13" t="inlineStr">
        <x:is>
          <x:t xml:space="preserve">原木</x:t>
        </x:is>
      </x:c>
      <x:c r="D7" s="13" t="n">
        <x:v>10</x:v>
      </x:c>
      <x:c r="E7" s="11" t="inlineStr">
        <x:is>
          <x:t xml:space="preserve">第 3 施工阶段</x:t>
        </x:is>
      </x:c>
    </x:row>
    <x:row r="8">
      <x:c r="A8" s="11" t="inlineStr">
        <x:is>
          <x:t xml:space="preserve">building.warehouse</x:t>
        </x:is>
      </x:c>
      <x:c r="B8" s="13" t="n">
        <x:v>1</x:v>
      </x:c>
      <x:c r="C8" s="13" t="inlineStr">
        <x:is>
          <x:t xml:space="preserve">泥土</x:t>
        </x:is>
      </x:c>
      <x:c r="D8" s="13" t="n">
        <x:v>10</x:v>
      </x:c>
      <x:c r="E8" s="11" t="inlineStr">
        <x:is>
          <x:t xml:space="preserve">第 1 施工阶段（粘土资产的稳定 ItemId 为泥土）</x:t>
        </x:is>
      </x:c>
    </x:row>
    <x:row r="9">
      <x:c r="A9" s="11" t="inlineStr">
        <x:is>
          <x:t xml:space="preserve">building.warehouse</x:t>
        </x:is>
      </x:c>
      <x:c r="B9" s="13" t="n">
        <x:v>2</x:v>
      </x:c>
      <x:c r="C9" s="13" t="inlineStr">
        <x:is>
          <x:t xml:space="preserve">原木</x:t>
        </x:is>
      </x:c>
      <x:c r="D9" s="13" t="n">
        <x:v>10</x:v>
      </x:c>
      <x:c r="E9" s="11" t="inlineStr">
        <x:is>
          <x:t xml:space="preserve">第 2 施工阶段（木材映射为基础资源原木）</x:t>
        </x:is>
      </x:c>
    </x:row>
    <x:row r="10">
      <x:c r="A10" s="11" t="inlineStr">
        <x:is>
          <x:t xml:space="preserve">building.warehouse</x:t>
        </x:is>
      </x:c>
      <x:c r="B10" s="13" t="n">
        <x:v>3</x:v>
      </x:c>
      <x:c r="C10" s="13" t="inlineStr">
        <x:is>
          <x:t xml:space="preserve">石头</x:t>
        </x:is>
      </x:c>
      <x:c r="D10" s="13" t="n">
        <x:v>10</x:v>
      </x:c>
      <x:c r="E10" s="11" t="inlineStr">
        <x:is>
          <x:t xml:space="preserve">第 3 施工阶段</x:t>
        </x:is>
      </x:c>
    </x:row>
    <x:row r="11">
      <x:c r="A11" s="11" t="inlineStr">
        <x:is>
          <x:t xml:space="preserve">building.sculpture</x:t>
        </x:is>
      </x:c>
      <x:c r="B11" s="13" t="n">
        <x:v>1</x:v>
      </x:c>
      <x:c r="C11" s="13" t="inlineStr">
        <x:is>
          <x:t xml:space="preserve">石头</x:t>
        </x:is>
      </x:c>
      <x:c r="D11" s="13" t="n">
        <x:v>20</x:v>
      </x:c>
      <x:c r="E11" s="11" t="inlineStr">
        <x:is>
          <x:t xml:space="preserve">第 1 施工阶段</x:t>
        </x:is>
      </x:c>
    </x:row>
    <x:row r="12">
      <x:c r="A12" s="3" t="str">
        <x:v>building.quarry</x:v>
      </x:c>
      <x:c r="B12" s="15" t="n">
        <x:v>2</x:v>
      </x:c>
      <x:c r="C12" s="15" t="str">
        <x:v>木头</x:v>
      </x:c>
      <x:c r="D12" s="15" t="n">
        <x:v>30</x:v>
      </x:c>
      <x:c r="E12" s="3" t="str">
        <x:v>第 2 施工阶段；项目木材稳定 ItemId 为木头</x:v>
      </x:c>
    </x:row>
    <x:row r="13">
      <x:c r="A13" s="3" t="str">
        <x:v>building.hospital</x:v>
      </x:c>
      <x:c r="B13" s="15" t="n">
        <x:v>1</x:v>
      </x:c>
      <x:c r="C13" s="15" t="str">
        <x:v>原木</x:v>
      </x:c>
      <x:c r="D13" s="15" t="n">
        <x:v>10</x:v>
      </x:c>
      <x:c r="E13" s="3" t="str">
        <x:v>第 1 施工阶段</x:v>
      </x:c>
    </x:row>
    <x:row r="14">
      <x:c r="A14" s="3" t="str">
        <x:v>building.hospital</x:v>
      </x:c>
      <x:c r="B14" s="15" t="n">
        <x:v>2</x:v>
      </x:c>
      <x:c r="C14" s="15" t="str">
        <x:v>石头</x:v>
      </x:c>
      <x:c r="D14" s="15" t="n">
        <x:v>10</x:v>
      </x:c>
      <x:c r="E14" s="3" t="str">
        <x:v>第 2 施工阶段</x:v>
      </x:c>
    </x:row>
    <x:row r="15">
      <x:c r="A15" s="148" t="str">
        <x:v>building.police_station</x:v>
      </x:c>
      <x:c r="B15" s="149" t="n">
        <x:v>1</x:v>
      </x:c>
      <x:c r="C15" s="149" t="str">
        <x:v>原木</x:v>
      </x:c>
      <x:c r="D15" s="149" t="n">
        <x:v>10</x:v>
      </x:c>
      <x:c r="E15" s="148" t="str">
        <x:v>第 1 施工阶段</x:v>
      </x:c>
    </x:row>
    <x:row r="16">
      <x:c r="A16" s="148" t="str">
        <x:v>building.police_station</x:v>
      </x:c>
      <x:c r="B16" s="149" t="n">
        <x:v>2</x:v>
      </x:c>
      <x:c r="C16" s="149" t="str">
        <x:v>石头</x:v>
      </x:c>
      <x:c r="D16" s="149" t="n">
        <x:v>10</x:v>
      </x:c>
      <x:c r="E16" s="148" t="str">
        <x:v>第 2 施工阶段</x:v>
      </x:c>
    </x:row>
    <x:row r="17">
      <x:c r="A17" s="3" t="n"/>
      <x:c r="B17" s="15" t="n"/>
      <x:c r="C17" s="15" t="n"/>
      <x:c r="D17" s="15" t="n"/>
      <x:c r="E17" s="3" t="n"/>
    </x:row>
    <x:row r="18">
      <x:c r="A18" s="3" t="n"/>
      <x:c r="B18" s="15" t="n"/>
      <x:c r="C18" s="15" t="n"/>
      <x:c r="D18" s="15" t="n"/>
      <x:c r="E18" s="3" t="n"/>
    </x:row>
    <x:row r="19">
      <x:c r="A19" s="3" t="n"/>
      <x:c r="B19" s="15" t="n"/>
      <x:c r="C19" s="15" t="n"/>
      <x:c r="D19" s="15" t="n"/>
      <x:c r="E19" s="3" t="n"/>
    </x:row>
    <x:row r="20">
      <x:c r="A20" s="3" t="n"/>
      <x:c r="B20" s="15" t="n"/>
      <x:c r="C20" s="15" t="n"/>
      <x:c r="D20" s="15" t="n"/>
      <x:c r="E20" s="3" t="n"/>
    </x:row>
    <x:row r="21">
      <x:c r="A21" s="3" t="n"/>
      <x:c r="B21" s="15" t="n"/>
      <x:c r="C21" s="15" t="n"/>
      <x:c r="D21" s="15" t="n"/>
      <x:c r="E21" s="3" t="n"/>
    </x:row>
    <x:row r="22">
      <x:c r="A22" s="3" t="n"/>
      <x:c r="B22" s="15" t="n"/>
      <x:c r="C22" s="15" t="n"/>
      <x:c r="D22" s="15" t="n"/>
      <x:c r="E22" s="3" t="n"/>
    </x:row>
    <x:row r="23">
      <x:c r="A23" s="3" t="n"/>
      <x:c r="B23" s="15" t="n"/>
      <x:c r="C23" s="15" t="n"/>
      <x:c r="D23" s="15" t="n"/>
      <x:c r="E23" s="3" t="n"/>
    </x:row>
    <x:row r="24">
      <x:c r="A24" s="3" t="n"/>
      <x:c r="B24" s="15" t="n"/>
      <x:c r="C24" s="15" t="n"/>
      <x:c r="D24" s="15" t="n"/>
      <x:c r="E24" s="3" t="n"/>
    </x:row>
  </x:sheetData>
  <x:mergeCells>
    <x:mergeCell ref="A2:E2"/>
    <x:mergeCell ref="A1:E1"/>
  </x:mergeCells>
  <x:dataValidations count="2">
    <x:dataValidation type="list" allowBlank="0" showDropDown="0" showInputMessage="0" showErrorMessage="0" sqref="A5:A24">
      <x:formula1>"building.player_home,building.residential_house,building.lumber_cabin,building.fishing_hut,building.farm_field,building.market,building.warehouse,building.road,building.tree"</x:formula1>
    </x:dataValidation>
    <x:dataValidation type="list" allowBlank="0" showDropDown="0" showInputMessage="0" showErrorMessage="0" sqref="C5:C24">
      <x:formula1>"金币,泥土,石头,原木,木板,树苗,蔬菜,鱼,黄金鱼"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7d3f7f0b1844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2" width="9" style="42" customWidth="1"/>
    <x:col min="3" max="3" width="10" style="42" customWidth="1"/>
    <x:col min="4" max="4" width="34" style="42" customWidth="1"/>
    <x:col min="5" max="5" width="42" style="42" customWidth="1"/>
  </x:cols>
  <x:sheetData>
    <x:row r="1" s="42" customFormat="1" ht="30" customHeight="1">
      <x:c r="A1" s="1" t="inlineStr">
        <x:is>
          <x:t xml:space="preserve">运营等级与升级条件</x:t>
        </x:is>
      </x:c>
    </x:row>
    <x:row r="2" s="42" customFormat="1" ht="38" customHeight="1">
      <x:c r="A2" s="2" t="inlineStr">
        <x:is>
          <x:t xml:space="preserve">一行一个 FamilyId + Level，必须从 LV1 连续。ConditionId 支持 none、keep、technology.&lt;TechnologyId&gt;。</x:t>
        </x:is>
      </x:c>
    </x:row>
    <x:row r="3">
      <x:c r="A3" s="3" t="n"/>
      <x:c r="B3" s="3" t="n"/>
      <x:c r="C3" s="3" t="n"/>
      <x:c r="D3" s="3" t="n"/>
      <x:c r="E3" s="3" t="n"/>
    </x:row>
    <x:row r="4" s="42" customFormat="1" ht="30" customHeight="1">
      <x:c r="A4" s="4" t="inlineStr">
        <x:is>
          <x:t xml:space="preserve">FamilyId</x:t>
        </x:is>
      </x:c>
      <x:c r="B4" s="5" t="inlineStr">
        <x:is>
          <x:t xml:space="preserve">Level</x:t>
        </x:is>
      </x:c>
      <x:c r="C4" s="5" t="inlineStr">
        <x:is>
          <x:t xml:space="preserve">开放</x:t>
        </x:is>
      </x:c>
      <x:c r="D4" s="5" t="inlineStr">
        <x:is>
          <x:t xml:space="preserve">ConditionId</x:t>
        </x:is>
      </x:c>
      <x:c r="E4" s="6" t="inlineStr">
        <x:is>
          <x:t xml:space="preserve">说明</x:t>
        </x:is>
      </x:c>
    </x:row>
    <x:row r="5">
      <x:c r="A5" s="7" t="inlineStr">
        <x:is>
          <x:t xml:space="preserve">building.player_home</x:t>
        </x:is>
      </x:c>
      <x:c r="B5" s="9" t="n">
        <x:v>1</x:v>
      </x:c>
      <x:c r="C5" s="7" t="inlineStr">
        <x:is>
          <x:t xml:space="preserve">是</x:t>
        </x:is>
      </x:c>
      <x:c r="D5" s="7" t="inlineStr">
        <x:is>
          <x:t xml:space="preserve">none</x:t>
        </x:is>
      </x:c>
      <x:c r="E5" s="7" t="inlineStr">
        <x:is>
          <x:t xml:space="preserve">施工完成进入 LV1</x:t>
        </x:is>
      </x:c>
    </x:row>
    <x:row r="6">
      <x:c r="A6" s="11" t="inlineStr">
        <x:is>
          <x:t xml:space="preserve">building.player_home</x:t>
        </x:is>
      </x:c>
      <x:c r="B6" s="13" t="n">
        <x:v>2</x:v>
      </x:c>
      <x:c r="C6" s="11" t="inlineStr">
        <x:is>
          <x:t xml:space="preserve">否</x:t>
        </x:is>
      </x:c>
      <x:c r="D6" s="11" t="inlineStr">
        <x:is>
          <x:t xml:space="preserve">none</x:t>
        </x:is>
      </x:c>
      <x:c r="E6" s="11" t="inlineStr">
        <x:is>
          <x:t xml:space="preserve">占位等级，开放前需补条件与数值</x:t>
        </x:is>
      </x:c>
    </x:row>
    <x:row r="7">
      <x:c r="A7" s="11" t="inlineStr">
        <x:is>
          <x:t xml:space="preserve">building.player_home</x:t>
        </x:is>
      </x:c>
      <x:c r="B7" s="13" t="n">
        <x:v>3</x:v>
      </x:c>
      <x:c r="C7" s="11" t="inlineStr">
        <x:is>
          <x:t xml:space="preserve">否</x:t>
        </x:is>
      </x:c>
      <x:c r="D7" s="11" t="inlineStr">
        <x:is>
          <x:t xml:space="preserve">none</x:t>
        </x:is>
      </x:c>
      <x:c r="E7" s="11" t="inlineStr">
        <x:is>
          <x:t xml:space="preserve">占位等级，开放前需补条件与数值</x:t>
        </x:is>
      </x:c>
    </x:row>
    <x:row r="8">
      <x:c r="A8" s="11" t="inlineStr">
        <x:is>
          <x:t xml:space="preserve">building.player_home</x:t>
        </x:is>
      </x:c>
      <x:c r="B8" s="13" t="n">
        <x:v>4</x:v>
      </x:c>
      <x:c r="C8" s="11" t="inlineStr">
        <x:is>
          <x:t xml:space="preserve">否</x:t>
        </x:is>
      </x:c>
      <x:c r="D8" s="11" t="inlineStr">
        <x:is>
          <x:t xml:space="preserve">none</x:t>
        </x:is>
      </x:c>
      <x:c r="E8" s="11" t="inlineStr">
        <x:is>
          <x:t xml:space="preserve">占位等级，开放前需补条件与数值</x:t>
        </x:is>
      </x:c>
    </x:row>
    <x:row r="9">
      <x:c r="A9" s="11" t="inlineStr">
        <x:is>
          <x:t xml:space="preserve">building.residential_house</x:t>
        </x:is>
      </x:c>
      <x:c r="B9" s="13" t="n">
        <x:v>1</x:v>
      </x:c>
      <x:c r="C9" s="11" t="inlineStr">
        <x:is>
          <x:t xml:space="preserve">是</x:t>
        </x:is>
      </x:c>
      <x:c r="D9" s="11" t="inlineStr">
        <x:is>
          <x:t xml:space="preserve">none</x:t>
        </x:is>
      </x:c>
      <x:c r="E9" s="11" t="inlineStr">
        <x:is>
          <x:t xml:space="preserve">施工完成进入 LV1</x:t>
        </x:is>
      </x:c>
    </x:row>
    <x:row r="10">
      <x:c r="A10" s="11" t="inlineStr">
        <x:is>
          <x:t xml:space="preserve">building.residential_house</x:t>
        </x:is>
      </x:c>
      <x:c r="B10" s="13" t="n">
        <x:v>2</x:v>
      </x:c>
      <x:c r="C10" s="11" t="inlineStr">
        <x:is>
          <x:t xml:space="preserve">否</x:t>
        </x:is>
      </x:c>
      <x:c r="D10" s="11" t="inlineStr">
        <x:is>
          <x:t xml:space="preserve">none</x:t>
        </x:is>
      </x:c>
      <x:c r="E10" s="11" t="inlineStr">
        <x:is>
          <x:t xml:space="preserve">占位等级</x:t>
        </x:is>
      </x:c>
    </x:row>
    <x:row r="11">
      <x:c r="A11" s="11" t="inlineStr">
        <x:is>
          <x:t xml:space="preserve">building.residential_house</x:t>
        </x:is>
      </x:c>
      <x:c r="B11" s="13" t="n">
        <x:v>3</x:v>
      </x:c>
      <x:c r="C11" s="11" t="inlineStr">
        <x:is>
          <x:t xml:space="preserve">否</x:t>
        </x:is>
      </x:c>
      <x:c r="D11" s="11" t="inlineStr">
        <x:is>
          <x:t xml:space="preserve">none</x:t>
        </x:is>
      </x:c>
      <x:c r="E11" s="11" t="inlineStr">
        <x:is>
          <x:t xml:space="preserve">占位等级</x:t>
        </x:is>
      </x:c>
    </x:row>
    <x:row r="12">
      <x:c r="A12" s="11" t="inlineStr">
        <x:is>
          <x:t xml:space="preserve">building.residential_house</x:t>
        </x:is>
      </x:c>
      <x:c r="B12" s="13" t="n">
        <x:v>4</x:v>
      </x:c>
      <x:c r="C12" s="11" t="inlineStr">
        <x:is>
          <x:t xml:space="preserve">否</x:t>
        </x:is>
      </x:c>
      <x:c r="D12" s="11" t="inlineStr">
        <x:is>
          <x:t xml:space="preserve">none</x:t>
        </x:is>
      </x:c>
      <x:c r="E12" s="11" t="inlineStr">
        <x:is>
          <x:t xml:space="preserve">占位等级</x:t>
        </x:is>
      </x:c>
    </x:row>
    <x:row r="13">
      <x:c r="A13" s="11" t="inlineStr">
        <x:is>
          <x:t xml:space="preserve">building.lumber_cabin</x:t>
        </x:is>
      </x:c>
      <x:c r="B13" s="13" t="n">
        <x:v>1</x:v>
      </x:c>
      <x:c r="C13" s="11" t="inlineStr">
        <x:is>
          <x:t xml:space="preserve">是</x:t>
        </x:is>
      </x:c>
      <x:c r="D13" s="11" t="inlineStr">
        <x:is>
          <x:t xml:space="preserve">none</x:t>
        </x:is>
      </x:c>
      <x:c r="E13" s="11" t="inlineStr">
        <x:is>
          <x:t xml:space="preserve">施工完成进入 LV1</x:t>
        </x:is>
      </x:c>
    </x:row>
    <x:row r="14">
      <x:c r="A14" s="11" t="inlineStr">
        <x:is>
          <x:t xml:space="preserve">building.lumber_cabin</x:t>
        </x:is>
      </x:c>
      <x:c r="B14" s="13" t="n">
        <x:v>2</x:v>
      </x:c>
      <x:c r="C14" s="11" t="inlineStr">
        <x:is>
          <x:t xml:space="preserve">是</x:t>
        </x:is>
      </x:c>
      <x:c r="D14" s="11" t="inlineStr">
        <x:is>
          <x:t xml:space="preserve">technology.TN_3_1_启蒙</x:t>
        </x:is>
      </x:c>
      <x:c r="E14" s="11" t="inlineStr">
        <x:is>
          <x:t xml:space="preserve">满足科技并支付升级费用</x:t>
        </x:is>
      </x:c>
    </x:row>
    <x:row r="15">
      <x:c r="A15" s="11" t="inlineStr">
        <x:is>
          <x:t xml:space="preserve">building.fishing_hut</x:t>
        </x:is>
      </x:c>
      <x:c r="B15" s="13" t="n">
        <x:v>1</x:v>
      </x:c>
      <x:c r="C15" s="11" t="inlineStr">
        <x:is>
          <x:t xml:space="preserve">是</x:t>
        </x:is>
      </x:c>
      <x:c r="D15" s="11" t="inlineStr">
        <x:is>
          <x:t xml:space="preserve">none</x:t>
        </x:is>
      </x:c>
      <x:c r="E15" s="11" t="inlineStr">
        <x:is>
          <x:t xml:space="preserve">施工完成进入 LV1</x:t>
        </x:is>
      </x:c>
    </x:row>
    <x:row r="16">
      <x:c r="A16" s="11" t="inlineStr">
        <x:is>
          <x:t xml:space="preserve">building.fishing_hut</x:t>
        </x:is>
      </x:c>
      <x:c r="B16" s="13" t="n">
        <x:v>2</x:v>
      </x:c>
      <x:c r="C16" s="11" t="inlineStr">
        <x:is>
          <x:t xml:space="preserve">否</x:t>
        </x:is>
      </x:c>
      <x:c r="D16" s="11" t="inlineStr">
        <x:is>
          <x:t xml:space="preserve">none</x:t>
        </x:is>
      </x:c>
      <x:c r="E16" s="11" t="inlineStr">
        <x:is>
          <x:t xml:space="preserve">占位等级</x:t>
        </x:is>
      </x:c>
    </x:row>
    <x:row r="17">
      <x:c r="A17" s="11" t="inlineStr">
        <x:is>
          <x:t xml:space="preserve">building.farm_field</x:t>
        </x:is>
      </x:c>
      <x:c r="B17" s="13" t="n">
        <x:v>1</x:v>
      </x:c>
      <x:c r="C17" s="11" t="inlineStr">
        <x:is>
          <x:t xml:space="preserve">是</x:t>
        </x:is>
      </x:c>
      <x:c r="D17" s="11" t="inlineStr">
        <x:is>
          <x:t xml:space="preserve">none</x:t>
        </x:is>
      </x:c>
      <x:c r="E17" s="11" t="inlineStr">
        <x:is>
          <x:t xml:space="preserve">施工完成进入 LV1</x:t>
        </x:is>
      </x:c>
    </x:row>
    <x:row r="18">
      <x:c r="A18" s="11" t="inlineStr">
        <x:is>
          <x:t xml:space="preserve">building.market</x:t>
        </x:is>
      </x:c>
      <x:c r="B18" s="13" t="n">
        <x:v>1</x:v>
      </x:c>
      <x:c r="C18" s="11" t="inlineStr">
        <x:is>
          <x:t xml:space="preserve">是</x:t>
        </x:is>
      </x:c>
      <x:c r="D18" s="11" t="inlineStr">
        <x:is>
          <x:t xml:space="preserve">none</x:t>
        </x:is>
      </x:c>
      <x:c r="E18" s="11" t="inlineStr">
        <x:is>
          <x:t xml:space="preserve">施工完成进入 LV1</x:t>
        </x:is>
      </x:c>
    </x:row>
    <x:row r="19">
      <x:c r="A19" s="11" t="inlineStr">
        <x:is>
          <x:t xml:space="preserve">building.warehouse</x:t>
        </x:is>
      </x:c>
      <x:c r="B19" s="13" t="n">
        <x:v>1</x:v>
      </x:c>
      <x:c r="C19" s="11" t="inlineStr">
        <x:is>
          <x:t xml:space="preserve">是</x:t>
        </x:is>
      </x:c>
      <x:c r="D19" s="11" t="inlineStr">
        <x:is>
          <x:t xml:space="preserve">none</x:t>
        </x:is>
      </x:c>
      <x:c r="E19" s="11" t="inlineStr">
        <x:is>
          <x:t xml:space="preserve">施工完成进入 LV1；30 EXP 后可升 LV2</x:t>
        </x:is>
      </x:c>
    </x:row>
    <x:row r="20">
      <x:c r="A20" s="11" t="inlineStr">
        <x:is>
          <x:t xml:space="preserve">building.warehouse</x:t>
        </x:is>
      </x:c>
      <x:c r="B20" s="13" t="n">
        <x:v>2</x:v>
      </x:c>
      <x:c r="C20" s="11" t="inlineStr">
        <x:is>
          <x:t xml:space="preserve">是</x:t>
        </x:is>
      </x:c>
      <x:c r="D20" s="11" t="inlineStr">
        <x:is>
          <x:t xml:space="preserve">technology.TN_4_5_轮子</x:t>
        </x:is>
      </x:c>
      <x:c r="E20" s="11" t="inlineStr">
        <x:is>
          <x:t xml:space="preserve">累计 50 EXP 后可升 LV3；科技条件待策划回填</x:t>
        </x:is>
      </x:c>
    </x:row>
    <x:row r="21">
      <x:c r="A21" s="11" t="inlineStr">
        <x:is>
          <x:t xml:space="preserve">building.warehouse</x:t>
        </x:is>
      </x:c>
      <x:c r="B21" s="13" t="n">
        <x:v>3</x:v>
      </x:c>
      <x:c r="C21" s="11" t="inlineStr">
        <x:is>
          <x:t xml:space="preserve">是</x:t>
        </x:is>
      </x:c>
      <x:c r="D21" s="11" t="inlineStr">
        <x:is>
          <x:t xml:space="preserve">technology.TN_2_10_经济理论</x:t>
        </x:is>
      </x:c>
      <x:c r="E21" s="11" t="inlineStr">
        <x:is>
          <x:t xml:space="preserve">最高等级；5 工人额外提供 1 库存格</x:t>
        </x:is>
      </x:c>
    </x:row>
    <x:row r="22">
      <x:c r="A22" s="11" t="inlineStr">
        <x:is>
          <x:t xml:space="preserve">building.road</x:t>
        </x:is>
      </x:c>
      <x:c r="B22" s="13" t="n">
        <x:v>1</x:v>
      </x:c>
      <x:c r="C22" s="11" t="inlineStr">
        <x:is>
          <x:t xml:space="preserve">是</x:t>
        </x:is>
      </x:c>
      <x:c r="D22" s="11" t="inlineStr">
        <x:is>
          <x:t xml:space="preserve">none</x:t>
        </x:is>
      </x:c>
      <x:c r="E22" s="11" t="inlineStr">
        <x:is>
          <x:t xml:space="preserve">施工完成进入 LV1</x:t>
        </x:is>
      </x:c>
    </x:row>
    <x:row r="23">
      <x:c r="A23" s="11" t="inlineStr">
        <x:is>
          <x:t xml:space="preserve">building.tree</x:t>
        </x:is>
      </x:c>
      <x:c r="B23" s="13" t="n">
        <x:v>1</x:v>
      </x:c>
      <x:c r="C23" s="11" t="inlineStr">
        <x:is>
          <x:t xml:space="preserve">是</x:t>
        </x:is>
      </x:c>
      <x:c r="D23" s="11" t="inlineStr">
        <x:is>
          <x:t xml:space="preserve">none</x:t>
        </x:is>
      </x:c>
      <x:c r="E23" s="11" t="inlineStr">
        <x:is>
          <x:t xml:space="preserve">施工完成进入 LV1</x:t>
        </x:is>
      </x:c>
    </x:row>
    <x:row r="24">
      <x:c r="A24" s="11" t="inlineStr">
        <x:is>
          <x:t xml:space="preserve">building.sculpture</x:t>
        </x:is>
      </x:c>
      <x:c r="B24" s="13" t="n">
        <x:v>1</x:v>
      </x:c>
      <x:c r="C24" s="11" t="inlineStr">
        <x:is>
          <x:t xml:space="preserve">是</x:t>
        </x:is>
      </x:c>
      <x:c r="D24" s="11" t="inlineStr">
        <x:is>
          <x:t xml:space="preserve">none</x:t>
        </x:is>
      </x:c>
      <x:c r="E24" s="11" t="inlineStr">
        <x:is>
          <x:t xml:space="preserve">施工完成进入 LV1，无后续升级</x:t>
        </x:is>
      </x:c>
    </x:row>
    <x:row r="25">
      <x:c r="A25" t="str">
        <x:v>building.quarry</x:v>
      </x:c>
      <x:c r="B25" t="n">
        <x:v>1</x:v>
      </x:c>
      <x:c r="C25" t="str">
        <x:v>是</x:v>
      </x:c>
      <x:c r="D25" t="str">
        <x:v>none</x:v>
      </x:c>
      <x:c r="E25" t="str">
        <x:v>施工完成进入 LV1</x:v>
      </x:c>
    </x:row>
    <x:row r="26">
      <x:c r="A26" t="str">
        <x:v>building.quarry</x:v>
      </x:c>
      <x:c r="B26" t="n">
        <x:v>2</x:v>
      </x:c>
      <x:c r="C26" t="str">
        <x:v>是</x:v>
      </x:c>
      <x:c r="D26" t="str">
        <x:v>technology.TN_5_10_火药</x:v>
      </x:c>
      <x:c r="E26" t="str">
        <x:v>解锁火药后允许升级 LV2</x:v>
      </x:c>
    </x:row>
    <x:row r="27">
      <x:c r="A27" t="str">
        <x:v>building.quarry</x:v>
      </x:c>
      <x:c r="B27" t="n">
        <x:v>3</x:v>
      </x:c>
      <x:c r="C27" t="str">
        <x:v>是</x:v>
      </x:c>
      <x:c r="D27" t="str">
        <x:v>technology.TN_4_17_机械化</x:v>
      </x:c>
      <x:c r="E27" t="str">
        <x:v>解锁机械化后允许升级 LV3</x:v>
      </x:c>
    </x:row>
    <x:row r="28">
      <x:c r="A28" t="str">
        <x:v>building.hospital</x:v>
      </x:c>
      <x:c r="B28" t="n">
        <x:v>1</x:v>
      </x:c>
      <x:c r="C28" t="str">
        <x:v>是</x:v>
      </x:c>
      <x:c r="D28" t="str">
        <x:v>none</x:v>
      </x:c>
      <x:c r="E28" t="str">
        <x:v>3 工人且维护成功时每回合 +1 EXP；累计 30 EXP 可升级</x:v>
      </x:c>
    </x:row>
    <x:row r="29">
      <x:c r="A29" t="str">
        <x:v>building.hospital</x:v>
      </x:c>
      <x:c r="B29" t="n">
        <x:v>2</x:v>
      </x:c>
      <x:c r="C29" t="str">
        <x:v>是</x:v>
      </x:c>
      <x:c r="D29" t="str">
        <x:v>technology.TN_2_6_医学</x:v>
      </x:c>
      <x:c r="E29" t="str">
        <x:v>医学解锁；8 工人且维护成功时每回合 +1 EXP；累计 100 EXP 可升级</x:v>
      </x:c>
    </x:row>
    <x:row r="30">
      <x:c r="A30" t="str">
        <x:v>building.hospital</x:v>
      </x:c>
      <x:c r="B30" t="n">
        <x:v>3</x:v>
      </x:c>
      <x:c r="C30" t="str">
        <x:v>是</x:v>
      </x:c>
      <x:c r="D30" t="str">
        <x:v>technology.TN_2_13_生物学</x:v>
      </x:c>
      <x:c r="E30" t="str">
        <x:v>生物学解锁；最高等级</x:v>
      </x:c>
    </x:row>
    <x:row r="31">
      <x:c r="A31" s="152" t="str">
        <x:v>building.police_station</x:v>
      </x:c>
      <x:c r="B31" s="152" t="n">
        <x:v>1</x:v>
      </x:c>
      <x:c r="C31" s="152" t="str">
        <x:v>是</x:v>
      </x:c>
      <x:c r="D31" s="152" t="str">
        <x:v>none</x:v>
      </x:c>
      <x:c r="E31" s="152" t="str">
        <x:v>3 工人且维护成功时每回合 +1 EXP；累计 30 EXP 可升级</x:v>
      </x:c>
    </x:row>
    <x:row r="32">
      <x:c r="A32" s="152" t="str">
        <x:v>building.police_station</x:v>
      </x:c>
      <x:c r="B32" s="152" t="n">
        <x:v>2</x:v>
      </x:c>
      <x:c r="C32" s="152" t="str">
        <x:v>是</x:v>
      </x:c>
      <x:c r="D32" s="152" t="str">
        <x:v>technology.TN_2_8_教育制度</x:v>
      </x:c>
      <x:c r="E32" s="152" t="str">
        <x:v>教育制度解锁；8 工人且维护成功时每回合 +1 EXP；累计 100 EXP 可升级</x:v>
      </x:c>
    </x:row>
    <x:row r="33">
      <x:c r="A33" s="152" t="str">
        <x:v>building.police_station</x:v>
      </x:c>
      <x:c r="B33" s="152" t="n">
        <x:v>3</x:v>
      </x:c>
      <x:c r="C33" s="152" t="str">
        <x:v>是</x:v>
      </x:c>
      <x:c r="D33" s="152" t="str">
        <x:v>technology.TN_4_15_信息化</x:v>
      </x:c>
      <x:c r="E33" s="152" t="str">
        <x:v>信息化解锁；最高等级</x:v>
      </x:c>
    </x:row>
  </x:sheetData>
  <x:mergeCells>
    <x:mergeCell ref="A2:E2"/>
    <x:mergeCell ref="A1:E1"/>
  </x:mergeCells>
  <x:dataValidations count="2">
    <x:dataValidation type="list" allowBlank="0" showDropDown="0" showInputMessage="0" showErrorMessage="0" sqref="A5:A24">
      <x:formula1>"building.player_home,building.residential_house,building.lumber_cabin,building.fishing_hut,building.farm_field,building.market,building.warehouse,building.road,building.tree"</x:formula1>
    </x:dataValidation>
    <x:dataValidation type="list" allowBlank="0" showDropDown="0" showInputMessage="0" showErrorMessage="0" sqref="C5:C24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a8431e3f8941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2" width="12" style="42" customWidth="1"/>
    <x:col min="3" max="3" width="16" style="42" customWidth="1"/>
    <x:col min="4" max="4" width="10" style="42" customWidth="1"/>
    <x:col min="5" max="5" width="46" style="42" customWidth="1"/>
  </x:cols>
  <x:sheetData>
    <x:row r="1" s="42" customFormat="1" ht="30" customHeight="1">
      <x:c r="A1" s="1" t="inlineStr">
        <x:is>
          <x:t xml:space="preserve">升级消耗（目标等级口径）</x:t>
        </x:is>
      </x:c>
    </x:row>
    <x:row r="2" s="42" customFormat="1" ht="38" customHeight="1">
      <x:c r="A2" s="2" t="inlineStr">
        <x:is>
          <x:t xml:space="preserve">费用写在升入的目标等级上。LV1 不允许写升级费用。</x:t>
        </x:is>
      </x:c>
    </x:row>
    <x:row r="3">
      <x:c r="A3" s="3" t="n"/>
      <x:c r="B3" s="3" t="n"/>
      <x:c r="C3" s="3" t="n"/>
      <x:c r="D3" s="3" t="n"/>
      <x:c r="E3" s="3" t="n"/>
    </x:row>
    <x:row r="4" s="42" customFormat="1" ht="30" customHeight="1">
      <x:c r="A4" s="4" t="inlineStr">
        <x:is>
          <x:t xml:space="preserve">FamilyId</x:t>
        </x:is>
      </x:c>
      <x:c r="B4" s="5" t="inlineStr">
        <x:is>
          <x:t xml:space="preserve">目标Level</x:t>
        </x:is>
      </x:c>
      <x:c r="C4" s="5" t="inlineStr">
        <x:is>
          <x:t xml:space="preserve">ItemId</x:t>
        </x:is>
      </x:c>
      <x:c r="D4" s="5" t="inlineStr">
        <x:is>
          <x:t xml:space="preserve">数量</x:t>
        </x:is>
      </x:c>
      <x:c r="E4" s="6" t="inlineStr">
        <x:is>
          <x:t xml:space="preserve">说明</x:t>
        </x:is>
      </x:c>
    </x:row>
    <x:row r="5">
      <x:c r="A5" s="7" t="inlineStr">
        <x:is>
          <x:t xml:space="preserve">building.lumber_cabin</x:t>
        </x:is>
      </x:c>
      <x:c r="B5" s="9" t="n">
        <x:v>2</x:v>
      </x:c>
      <x:c r="C5" s="9" t="inlineStr">
        <x:is>
          <x:t xml:space="preserve">金币</x:t>
        </x:is>
      </x:c>
      <x:c r="D5" s="9" t="n">
        <x:v>30</x:v>
      </x:c>
      <x:c r="E5" s="7" t="inlineStr">
        <x:is>
          <x:t xml:space="preserve">需同时满足 technology.TN_3_1_启蒙</x:t>
        </x:is>
      </x:c>
    </x:row>
    <x:row r="6">
      <x:c r="A6" s="3" t="str">
        <x:v>building.hospital</x:v>
      </x:c>
      <x:c r="B6" s="15" t="n">
        <x:v>2</x:v>
      </x:c>
      <x:c r="C6" s="15" t="str">
        <x:v>金币</x:v>
      </x:c>
      <x:c r="D6" s="15" t="n">
        <x:v>300</x:v>
      </x:c>
      <x:c r="E6" s="3" t="str">
        <x:v>需同时满足 30 EXP 与 technology.TN_2_6_医学</x:v>
      </x:c>
    </x:row>
    <x:row r="7">
      <x:c r="A7" s="3" t="str">
        <x:v>building.hospital</x:v>
      </x:c>
      <x:c r="B7" s="15" t="n">
        <x:v>3</x:v>
      </x:c>
      <x:c r="C7" s="15" t="str">
        <x:v>金币</x:v>
      </x:c>
      <x:c r="D7" s="15" t="n">
        <x:v>1000</x:v>
      </x:c>
      <x:c r="E7" s="3" t="str">
        <x:v>需同时满足 100 EXP 与 technology.TN_2_13_生物学</x:v>
      </x:c>
    </x:row>
    <x:row r="8">
      <x:c r="A8" s="148" t="str">
        <x:v>building.police_station</x:v>
      </x:c>
      <x:c r="B8" s="149" t="n">
        <x:v>2</x:v>
      </x:c>
      <x:c r="C8" s="149" t="str">
        <x:v>金币</x:v>
      </x:c>
      <x:c r="D8" s="149" t="n">
        <x:v>300</x:v>
      </x:c>
      <x:c r="E8" s="148" t="str">
        <x:v>需同时满足 30 EXP 与 technology.TN_2_8_教育制度</x:v>
      </x:c>
    </x:row>
    <x:row r="9">
      <x:c r="A9" s="148" t="str">
        <x:v>building.police_station</x:v>
      </x:c>
      <x:c r="B9" s="149" t="n">
        <x:v>3</x:v>
      </x:c>
      <x:c r="C9" s="149" t="str">
        <x:v>金币</x:v>
      </x:c>
      <x:c r="D9" s="149" t="n">
        <x:v>1000</x:v>
      </x:c>
      <x:c r="E9" s="148" t="str">
        <x:v>需同时满足 100 EXP 与 technology.TN_4_15_信息化</x:v>
      </x:c>
    </x:row>
    <x:row r="10">
      <x:c r="A10" s="3" t="n"/>
      <x:c r="B10" s="15" t="n"/>
      <x:c r="C10" s="15" t="n"/>
      <x:c r="D10" s="15" t="n"/>
      <x:c r="E10" s="3" t="n"/>
    </x:row>
    <x:row r="11">
      <x:c r="A11" s="3" t="n"/>
      <x:c r="B11" s="15" t="n"/>
      <x:c r="C11" s="15" t="n"/>
      <x:c r="D11" s="15" t="n"/>
      <x:c r="E11" s="3" t="n"/>
    </x:row>
    <x:row r="12">
      <x:c r="A12" s="3" t="n"/>
      <x:c r="B12" s="15" t="n"/>
      <x:c r="C12" s="15" t="n"/>
      <x:c r="D12" s="15" t="n"/>
      <x:c r="E12" s="3" t="n"/>
    </x:row>
    <x:row r="13">
      <x:c r="A13" s="3" t="n"/>
      <x:c r="B13" s="15" t="n"/>
      <x:c r="C13" s="15" t="n"/>
      <x:c r="D13" s="15" t="n"/>
      <x:c r="E13" s="3" t="n"/>
    </x:row>
    <x:row r="14">
      <x:c r="A14" s="3" t="n"/>
      <x:c r="B14" s="15" t="n"/>
      <x:c r="C14" s="15" t="n"/>
      <x:c r="D14" s="15" t="n"/>
      <x:c r="E14" s="3" t="n"/>
    </x:row>
    <x:row r="15">
      <x:c r="A15" s="3" t="n"/>
      <x:c r="B15" s="15" t="n"/>
      <x:c r="C15" s="15" t="n"/>
      <x:c r="D15" s="15" t="n"/>
      <x:c r="E15" s="3" t="n"/>
    </x:row>
    <x:row r="16">
      <x:c r="A16" s="3" t="n"/>
      <x:c r="B16" s="15" t="n"/>
      <x:c r="C16" s="15" t="n"/>
      <x:c r="D16" s="15" t="n"/>
      <x:c r="E16" s="3" t="n"/>
    </x:row>
    <x:row r="17">
      <x:c r="A17" s="3" t="n"/>
      <x:c r="B17" s="15" t="n"/>
      <x:c r="C17" s="15" t="n"/>
      <x:c r="D17" s="15" t="n"/>
      <x:c r="E17" s="3" t="n"/>
    </x:row>
    <x:row r="18">
      <x:c r="A18" s="3" t="n"/>
      <x:c r="B18" s="15" t="n"/>
      <x:c r="C18" s="15" t="n"/>
      <x:c r="D18" s="15" t="n"/>
      <x:c r="E18" s="3" t="n"/>
    </x:row>
    <x:row r="19">
      <x:c r="A19" s="3" t="n"/>
      <x:c r="B19" s="15" t="n"/>
      <x:c r="C19" s="15" t="n"/>
      <x:c r="D19" s="15" t="n"/>
      <x:c r="E19" s="3" t="n"/>
    </x:row>
    <x:row r="20">
      <x:c r="A20" s="3" t="n"/>
      <x:c r="B20" s="15" t="n"/>
      <x:c r="C20" s="15" t="n"/>
      <x:c r="D20" s="15" t="n"/>
      <x:c r="E20" s="3" t="n"/>
    </x:row>
    <x:row r="21">
      <x:c r="A21" s="3" t="n"/>
      <x:c r="B21" s="15" t="n"/>
      <x:c r="C21" s="15" t="n"/>
      <x:c r="D21" s="15" t="n"/>
      <x:c r="E21" s="3" t="n"/>
    </x:row>
    <x:row r="22">
      <x:c r="A22" s="3" t="n"/>
      <x:c r="B22" s="15" t="n"/>
      <x:c r="C22" s="15" t="n"/>
      <x:c r="D22" s="15" t="n"/>
      <x:c r="E22" s="3" t="n"/>
    </x:row>
    <x:row r="23">
      <x:c r="A23" s="3" t="n"/>
      <x:c r="B23" s="15" t="n"/>
      <x:c r="C23" s="15" t="n"/>
      <x:c r="D23" s="15" t="n"/>
      <x:c r="E23" s="3" t="n"/>
    </x:row>
    <x:row r="24">
      <x:c r="A24" s="3" t="n"/>
      <x:c r="B24" s="15" t="n"/>
      <x:c r="C24" s="15" t="n"/>
      <x:c r="D24" s="15" t="n"/>
      <x:c r="E24" s="3" t="n"/>
    </x:row>
  </x:sheetData>
  <x:mergeCells>
    <x:mergeCell ref="A2:E2"/>
    <x:mergeCell ref="A1:E1"/>
  </x:mergeCells>
  <x:dataValidations count="2">
    <x:dataValidation type="list" allowBlank="0" showDropDown="0" showInputMessage="0" showErrorMessage="0" sqref="A5:A24">
      <x:formula1>"building.player_home,building.residential_house,building.lumber_cabin,building.fishing_hut,building.farm_field,building.market,building.warehouse,building.road,building.tree"</x:formula1>
    </x:dataValidation>
    <x:dataValidation type="list" allowBlank="0" showDropDown="0" showInputMessage="0" showErrorMessage="0" sqref="C5:C24">
      <x:formula1>"金币,泥土,石头,原木,木板,树苗,蔬菜,鱼,黄金鱼"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2ca9d4ac3f45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2" width="9" style="42" customWidth="1"/>
    <x:col min="3" max="3" width="16" style="42" customWidth="1"/>
    <x:col min="4" max="4" width="18" style="42" customWidth="1"/>
  </x:cols>
  <x:sheetData>
    <x:row r="1" s="42" customFormat="1" ht="30" customHeight="1">
      <x:c r="A1" s="1" t="inlineStr">
        <x:is>
          <x:t xml:space="preserve">等级配置：固定人口</x:t>
        </x:is>
      </x:c>
    </x:row>
    <x:row r="2" s="42" customFormat="1" ht="38" customHeight="1">
      <x:c r="A2" s="2" t="inlineStr">
        <x:is>
          <x:t xml:space="preserve">对应 PlayerHomeLevelConfiguration；只允许拥有 population.fixed 模块的家族填写。</x:t>
        </x:is>
      </x:c>
    </x:row>
    <x:row r="3">
      <x:c r="A3" s="3" t="n"/>
      <x:c r="B3" s="3" t="n"/>
      <x:c r="C3" s="3" t="n"/>
      <x:c r="D3" s="3" t="n"/>
    </x:row>
    <x:row r="4" s="42" customFormat="1" ht="30" customHeight="1">
      <x:c r="A4" s="4" t="inlineStr">
        <x:is>
          <x:t xml:space="preserve">FamilyId</x:t>
        </x:is>
      </x:c>
      <x:c r="B4" s="5" t="inlineStr">
        <x:is>
          <x:t xml:space="preserve">Level</x:t>
        </x:is>
      </x:c>
      <x:c r="C4" s="5" t="inlineStr">
        <x:is>
          <x:t xml:space="preserve">提供人口</x:t>
        </x:is>
      </x:c>
      <x:c r="D4" s="6" t="inlineStr">
        <x:is>
          <x:t xml:space="preserve">校验</x:t>
        </x:is>
      </x:c>
    </x:row>
    <x:row r="5">
      <x:c r="A5" s="7" t="inlineStr">
        <x:is>
          <x:t xml:space="preserve">building.player_home</x:t>
        </x:is>
      </x:c>
      <x:c r="B5" s="9" t="n">
        <x:v>1</x:v>
      </x:c>
      <x:c r="C5" s="9" t="n">
        <x:v>10</x:v>
      </x:c>
      <x:c r="D5" s="10" t="e">
        <x:f>IF(COUNTIFS(运营等级!$A$5:$A$24,A5,运营等级!$B$5:$B$24,B5)=0,"错误：缺少等级","通过")</x:f>
        <x:v>#NAME?</x:v>
      </x:c>
    </x:row>
    <x:row r="6">
      <x:c r="A6" s="11" t="inlineStr">
        <x:is>
          <x:t xml:space="preserve">building.player_home</x:t>
        </x:is>
      </x:c>
      <x:c r="B6" s="13" t="n">
        <x:v>2</x:v>
      </x:c>
      <x:c r="C6" s="13" t="n">
        <x:v>10</x:v>
      </x:c>
      <x:c r="D6" s="14" t="e">
        <x:f>IF(COUNTIFS(运营等级!$A$5:$A$24,A6,运营等级!$B$5:$B$24,B6)=0,"错误：缺少等级","通过")</x:f>
        <x:v>#NAME?</x:v>
      </x:c>
    </x:row>
    <x:row r="7">
      <x:c r="A7" s="11" t="inlineStr">
        <x:is>
          <x:t xml:space="preserve">building.player_home</x:t>
        </x:is>
      </x:c>
      <x:c r="B7" s="13" t="n">
        <x:v>3</x:v>
      </x:c>
      <x:c r="C7" s="13" t="n">
        <x:v>10</x:v>
      </x:c>
      <x:c r="D7" s="14" t="e">
        <x:f>IF(COUNTIFS(运营等级!$A$5:$A$24,A7,运营等级!$B$5:$B$24,B7)=0,"错误：缺少等级","通过")</x:f>
        <x:v>#NAME?</x:v>
      </x:c>
    </x:row>
    <x:row r="8">
      <x:c r="A8" s="11" t="inlineStr">
        <x:is>
          <x:t xml:space="preserve">building.player_home</x:t>
        </x:is>
      </x:c>
      <x:c r="B8" s="13" t="n">
        <x:v>4</x:v>
      </x:c>
      <x:c r="C8" s="13" t="n">
        <x:v>10</x:v>
      </x:c>
      <x:c r="D8" s="14" t="e">
        <x:f>IF(COUNTIFS(运营等级!$A$5:$A$24,A8,运营等级!$B$5:$B$24,B8)=0,"错误：缺少等级","通过")</x:f>
        <x:v>#NAME?</x:v>
      </x:c>
    </x:row>
    <x:row r="9">
      <x:c r="A9" s="3" t="n"/>
      <x:c r="B9" s="15" t="n"/>
      <x:c r="C9" s="15" t="n"/>
      <x:c r="D9" s="3" t="n"/>
    </x:row>
    <x:row r="10">
      <x:c r="A10" s="3" t="n"/>
      <x:c r="B10" s="15" t="n"/>
      <x:c r="C10" s="15" t="n"/>
      <x:c r="D10" s="3" t="n"/>
    </x:row>
    <x:row r="11">
      <x:c r="A11" s="3" t="n"/>
      <x:c r="B11" s="15" t="n"/>
      <x:c r="C11" s="15" t="n"/>
      <x:c r="D11" s="3" t="n"/>
    </x:row>
    <x:row r="12">
      <x:c r="A12" s="3" t="n"/>
      <x:c r="B12" s="15" t="n"/>
      <x:c r="C12" s="15" t="n"/>
      <x:c r="D12" s="3" t="n"/>
    </x:row>
    <x:row r="13">
      <x:c r="A13" s="3" t="n"/>
      <x:c r="B13" s="15" t="n"/>
      <x:c r="C13" s="15" t="n"/>
      <x:c r="D13" s="3" t="n"/>
    </x:row>
    <x:row r="14">
      <x:c r="A14" s="3" t="n"/>
      <x:c r="B14" s="15" t="n"/>
      <x:c r="C14" s="15" t="n"/>
      <x:c r="D14" s="3" t="n"/>
    </x:row>
    <x:row r="15">
      <x:c r="A15" s="3" t="n"/>
      <x:c r="B15" s="15" t="n"/>
      <x:c r="C15" s="15" t="n"/>
      <x:c r="D15" s="3" t="n"/>
    </x:row>
    <x:row r="16">
      <x:c r="A16" s="3" t="n"/>
      <x:c r="B16" s="15" t="n"/>
      <x:c r="C16" s="15" t="n"/>
      <x:c r="D16" s="3" t="n"/>
    </x:row>
    <x:row r="17">
      <x:c r="A17" s="3" t="n"/>
      <x:c r="B17" s="15" t="n"/>
      <x:c r="C17" s="15" t="n"/>
      <x:c r="D17" s="3" t="n"/>
    </x:row>
    <x:row r="18">
      <x:c r="A18" s="3" t="n"/>
      <x:c r="B18" s="15" t="n"/>
      <x:c r="C18" s="15" t="n"/>
      <x:c r="D18" s="3" t="n"/>
    </x:row>
    <x:row r="19">
      <x:c r="A19" s="3" t="n"/>
      <x:c r="B19" s="15" t="n"/>
      <x:c r="C19" s="15" t="n"/>
      <x:c r="D19" s="3" t="n"/>
    </x:row>
    <x:row r="20">
      <x:c r="A20" s="3" t="n"/>
      <x:c r="B20" s="15" t="n"/>
      <x:c r="C20" s="15" t="n"/>
      <x:c r="D20" s="3" t="n"/>
    </x:row>
    <x:row r="21">
      <x:c r="A21" s="3" t="n"/>
      <x:c r="B21" s="15" t="n"/>
      <x:c r="C21" s="15" t="n"/>
      <x:c r="D21" s="3" t="n"/>
    </x:row>
    <x:row r="22">
      <x:c r="A22" s="3" t="n"/>
      <x:c r="B22" s="15" t="n"/>
      <x:c r="C22" s="15" t="n"/>
      <x:c r="D22" s="3" t="n"/>
    </x:row>
    <x:row r="23">
      <x:c r="A23" s="3" t="n"/>
      <x:c r="B23" s="15" t="n"/>
      <x:c r="C23" s="15" t="n"/>
      <x:c r="D23" s="3" t="n"/>
    </x:row>
    <x:row r="24">
      <x:c r="A24" s="3" t="n"/>
      <x:c r="B24" s="15" t="n"/>
      <x:c r="C24" s="15" t="n"/>
      <x:c r="D24" s="3" t="n"/>
    </x:row>
  </x:sheetData>
  <x:mergeCells>
    <x:mergeCell ref="A1:D1"/>
    <x:mergeCell ref="A2:D2"/>
  </x:mergeCells>
  <x:conditionalFormatting sqref="D5:D8">
    <x:cfRule type="containsText" dxfId="0" priority="1" operator="between" text="通过">
      <x:formula>NOT(ISERROR(SEARCH("通过",D5)))</x:formula>
    </x:cfRule>
    <x:cfRule type="containsText" dxfId="1" priority="2" operator="between" text="待">
      <x:formula>NOT(ISERROR(SEARCH("待",D5)))</x:formula>
    </x:cfRule>
    <x:cfRule type="containsText" dxfId="2" priority="3" operator="between" text="错误">
      <x:formula>NOT(ISERROR(SEARCH("错误",D5)))</x:formula>
    </x:cfRule>
  </x:conditionalFormatting>
  <x:dataValidations count="1">
    <x:dataValidation type="list" allowBlank="0" showDropDown="0" showInputMessage="0" showErrorMessage="0" sqref="A5:A24">
      <x:formula1>"building.player_home,building.residential_house,building.lumber_cabin,building.fishing_hut,building.farm_field,building.market,building.warehouse,building.road,building.tree"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60bf36fcf340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2" width="9" style="42" customWidth="1"/>
    <x:col min="3" max="3" width="16" style="42" customWidth="1"/>
    <x:col min="4" max="4" width="18" style="42" customWidth="1"/>
  </x:cols>
  <x:sheetData>
    <x:row r="1" s="42" customFormat="1" ht="30" customHeight="1">
      <x:c r="A1" s="1" t="inlineStr">
        <x:is>
          <x:t xml:space="preserve">等级配置：库存容量</x:t>
        </x:is>
      </x:c>
    </x:row>
    <x:row r="2" s="42" customFormat="1" ht="38" customHeight="1">
      <x:c r="A2" s="2" t="inlineStr">
        <x:is>
          <x:t xml:space="preserve">对应 BuildingInventoryLevelConfiguration；单位为库存格。</x:t>
        </x:is>
      </x:c>
    </x:row>
    <x:row r="3">
      <x:c r="A3" s="3" t="n"/>
      <x:c r="B3" s="3" t="n"/>
      <x:c r="C3" s="3" t="n"/>
      <x:c r="D3" s="3" t="n"/>
    </x:row>
    <x:row r="4" s="42" customFormat="1" ht="30" customHeight="1">
      <x:c r="A4" s="4" t="inlineStr">
        <x:is>
          <x:t xml:space="preserve">FamilyId</x:t>
        </x:is>
      </x:c>
      <x:c r="B4" s="5" t="inlineStr">
        <x:is>
          <x:t xml:space="preserve">Level</x:t>
        </x:is>
      </x:c>
      <x:c r="C4" s="5" t="inlineStr">
        <x:is>
          <x:t xml:space="preserve">提供库存格</x:t>
        </x:is>
      </x:c>
      <x:c r="D4" s="6" t="inlineStr">
        <x:is>
          <x:t xml:space="preserve">校验</x:t>
        </x:is>
      </x:c>
    </x:row>
    <x:row r="5">
      <x:c r="A5" s="7" t="inlineStr">
        <x:is>
          <x:t xml:space="preserve">building.player_home</x:t>
        </x:is>
      </x:c>
      <x:c r="B5" s="9" t="n">
        <x:v>1</x:v>
      </x:c>
      <x:c r="C5" s="9" t="n">
        <x:v>5</x:v>
      </x:c>
      <x:c r="D5" s="10" t="e">
        <x:f>IF(COUNTIFS(运营等级!$A$5:$A$24,A5,运营等级!$B$5:$B$24,B5)=0,"错误：缺少等级","通过")</x:f>
        <x:v>#NAME?</x:v>
      </x:c>
    </x:row>
    <x:row r="6">
      <x:c r="A6" s="11" t="inlineStr">
        <x:is>
          <x:t xml:space="preserve">building.player_home</x:t>
        </x:is>
      </x:c>
      <x:c r="B6" s="13" t="n">
        <x:v>2</x:v>
      </x:c>
      <x:c r="C6" s="13" t="n">
        <x:v>5</x:v>
      </x:c>
      <x:c r="D6" s="14" t="e">
        <x:f>IF(COUNTIFS(运营等级!$A$5:$A$24,A6,运营等级!$B$5:$B$24,B6)=0,"错误：缺少等级","通过")</x:f>
        <x:v>#NAME?</x:v>
      </x:c>
    </x:row>
    <x:row r="7">
      <x:c r="A7" s="11" t="inlineStr">
        <x:is>
          <x:t xml:space="preserve">building.player_home</x:t>
        </x:is>
      </x:c>
      <x:c r="B7" s="13" t="n">
        <x:v>3</x:v>
      </x:c>
      <x:c r="C7" s="13" t="n">
        <x:v>5</x:v>
      </x:c>
      <x:c r="D7" s="14" t="e">
        <x:f>IF(COUNTIFS(运营等级!$A$5:$A$24,A7,运营等级!$B$5:$B$24,B7)=0,"错误：缺少等级","通过")</x:f>
        <x:v>#NAME?</x:v>
      </x:c>
    </x:row>
    <x:row r="8">
      <x:c r="A8" s="11" t="inlineStr">
        <x:is>
          <x:t xml:space="preserve">building.player_home</x:t>
        </x:is>
      </x:c>
      <x:c r="B8" s="13" t="n">
        <x:v>4</x:v>
      </x:c>
      <x:c r="C8" s="13" t="n">
        <x:v>5</x:v>
      </x:c>
      <x:c r="D8" s="14" t="e">
        <x:f>IF(COUNTIFS(运营等级!$A$5:$A$24,A8,运营等级!$B$5:$B$24,B8)=0,"错误：缺少等级","通过")</x:f>
        <x:v>#NAME?</x:v>
      </x:c>
    </x:row>
    <x:row r="9">
      <x:c r="A9" s="3" t="n"/>
      <x:c r="B9" s="15" t="n"/>
      <x:c r="C9" s="15" t="n"/>
      <x:c r="D9" s="3" t="n"/>
    </x:row>
    <x:row r="10">
      <x:c r="A10" s="3" t="n"/>
      <x:c r="B10" s="15" t="n"/>
      <x:c r="C10" s="15" t="n"/>
      <x:c r="D10" s="3" t="n"/>
    </x:row>
    <x:row r="11">
      <x:c r="A11" s="3" t="n"/>
      <x:c r="B11" s="15" t="n"/>
      <x:c r="C11" s="15" t="n"/>
      <x:c r="D11" s="3" t="n"/>
    </x:row>
    <x:row r="12">
      <x:c r="A12" s="3" t="n"/>
      <x:c r="B12" s="15" t="n"/>
      <x:c r="C12" s="15" t="n"/>
      <x:c r="D12" s="3" t="n"/>
    </x:row>
    <x:row r="13">
      <x:c r="A13" s="3" t="n"/>
      <x:c r="B13" s="15" t="n"/>
      <x:c r="C13" s="15" t="n"/>
      <x:c r="D13" s="3" t="n"/>
    </x:row>
    <x:row r="14">
      <x:c r="A14" s="3" t="n"/>
      <x:c r="B14" s="15" t="n"/>
      <x:c r="C14" s="15" t="n"/>
      <x:c r="D14" s="3" t="n"/>
    </x:row>
    <x:row r="15">
      <x:c r="A15" s="3" t="n"/>
      <x:c r="B15" s="15" t="n"/>
      <x:c r="C15" s="15" t="n"/>
      <x:c r="D15" s="3" t="n"/>
    </x:row>
    <x:row r="16">
      <x:c r="A16" s="3" t="n"/>
      <x:c r="B16" s="15" t="n"/>
      <x:c r="C16" s="15" t="n"/>
      <x:c r="D16" s="3" t="n"/>
    </x:row>
    <x:row r="17">
      <x:c r="A17" s="3" t="n"/>
      <x:c r="B17" s="15" t="n"/>
      <x:c r="C17" s="15" t="n"/>
      <x:c r="D17" s="3" t="n"/>
    </x:row>
    <x:row r="18">
      <x:c r="A18" s="3" t="n"/>
      <x:c r="B18" s="15" t="n"/>
      <x:c r="C18" s="15" t="n"/>
      <x:c r="D18" s="3" t="n"/>
    </x:row>
    <x:row r="19">
      <x:c r="A19" s="3" t="n"/>
      <x:c r="B19" s="15" t="n"/>
      <x:c r="C19" s="15" t="n"/>
      <x:c r="D19" s="3" t="n"/>
    </x:row>
    <x:row r="20">
      <x:c r="A20" s="3" t="n"/>
      <x:c r="B20" s="15" t="n"/>
      <x:c r="C20" s="15" t="n"/>
      <x:c r="D20" s="3" t="n"/>
    </x:row>
    <x:row r="21">
      <x:c r="A21" s="3" t="n"/>
      <x:c r="B21" s="15" t="n"/>
      <x:c r="C21" s="15" t="n"/>
      <x:c r="D21" s="3" t="n"/>
    </x:row>
    <x:row r="22">
      <x:c r="A22" s="3" t="n"/>
      <x:c r="B22" s="15" t="n"/>
      <x:c r="C22" s="15" t="n"/>
      <x:c r="D22" s="3" t="n"/>
    </x:row>
    <x:row r="23">
      <x:c r="A23" s="3" t="n"/>
      <x:c r="B23" s="15" t="n"/>
      <x:c r="C23" s="15" t="n"/>
      <x:c r="D23" s="3" t="n"/>
    </x:row>
    <x:row r="24">
      <x:c r="A24" s="3" t="n"/>
      <x:c r="B24" s="15" t="n"/>
      <x:c r="C24" s="15" t="n"/>
      <x:c r="D24" s="3" t="n"/>
    </x:row>
  </x:sheetData>
  <x:mergeCells>
    <x:mergeCell ref="A1:D1"/>
    <x:mergeCell ref="A2:D2"/>
  </x:mergeCells>
  <x:conditionalFormatting sqref="D5:D8">
    <x:cfRule type="containsText" dxfId="0" priority="1" operator="between" text="通过">
      <x:formula>NOT(ISERROR(SEARCH("通过",D5)))</x:formula>
    </x:cfRule>
    <x:cfRule type="containsText" dxfId="1" priority="2" operator="between" text="待">
      <x:formula>NOT(ISERROR(SEARCH("待",D5)))</x:formula>
    </x:cfRule>
    <x:cfRule type="containsText" dxfId="2" priority="3" operator="between" text="错误">
      <x:formula>NOT(ISERROR(SEARCH("错误",D5)))</x:formula>
    </x:cfRule>
  </x:conditionalFormatting>
  <x:dataValidations count="1">
    <x:dataValidation type="list" allowBlank="0" showDropDown="0" showInputMessage="0" showErrorMessage="0" sqref="A5:A24">
      <x:formula1>"building.player_home,building.residential_house,building.lumber_cabin,building.fishing_hut,building.farm_field,building.market,building.warehouse,building.road,building.tree"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43e6995eb240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2" width="9" style="42" customWidth="1"/>
    <x:col min="3" max="3" width="16" style="42" customWidth="1"/>
    <x:col min="4" max="4" width="18" style="42" customWidth="1"/>
  </x:cols>
  <x:sheetData>
    <x:row r="1" s="42" customFormat="1" ht="30" customHeight="1">
      <x:c r="A1" s="1" t="inlineStr">
        <x:is>
          <x:t xml:space="preserve">等级配置：科技点</x:t>
        </x:is>
      </x:c>
    </x:row>
    <x:row r="2" s="42" customFormat="1" ht="38" customHeight="1">
      <x:c r="A2" s="2" t="inlineStr">
        <x:is>
          <x:t xml:space="preserve">对应 BuildingTechnologyPointLevelConfiguration；每个成功回合注入当前研究。</x:t>
        </x:is>
      </x:c>
    </x:row>
    <x:row r="3">
      <x:c r="A3" s="3" t="n"/>
      <x:c r="B3" s="3" t="n"/>
      <x:c r="C3" s="3" t="n"/>
      <x:c r="D3" s="3" t="n"/>
    </x:row>
    <x:row r="4" s="42" customFormat="1" ht="30" customHeight="1">
      <x:c r="A4" s="4" t="inlineStr">
        <x:is>
          <x:t xml:space="preserve">FamilyId</x:t>
        </x:is>
      </x:c>
      <x:c r="B4" s="5" t="inlineStr">
        <x:is>
          <x:t xml:space="preserve">Level</x:t>
        </x:is>
      </x:c>
      <x:c r="C4" s="5" t="inlineStr">
        <x:is>
          <x:t xml:space="preserve">科技点/回合</x:t>
        </x:is>
      </x:c>
      <x:c r="D4" s="6" t="inlineStr">
        <x:is>
          <x:t xml:space="preserve">校验</x:t>
        </x:is>
      </x:c>
    </x:row>
    <x:row r="5">
      <x:c r="A5" s="7" t="inlineStr">
        <x:is>
          <x:t xml:space="preserve">building.player_home</x:t>
        </x:is>
      </x:c>
      <x:c r="B5" s="9" t="n">
        <x:v>1</x:v>
      </x:c>
      <x:c r="C5" s="9" t="n">
        <x:v>1</x:v>
      </x:c>
      <x:c r="D5" s="10" t="e">
        <x:f>IF(COUNTIFS(运营等级!$A$5:$A$24,A5,运营等级!$B$5:$B$24,B5)=0,"错误：缺少等级","通过")</x:f>
        <x:v>#NAME?</x:v>
      </x:c>
    </x:row>
    <x:row r="6">
      <x:c r="A6" s="11" t="inlineStr">
        <x:is>
          <x:t xml:space="preserve">building.player_home</x:t>
        </x:is>
      </x:c>
      <x:c r="B6" s="13" t="n">
        <x:v>2</x:v>
      </x:c>
      <x:c r="C6" s="13" t="n">
        <x:v>1</x:v>
      </x:c>
      <x:c r="D6" s="14" t="e">
        <x:f>IF(COUNTIFS(运营等级!$A$5:$A$24,A6,运营等级!$B$5:$B$24,B6)=0,"错误：缺少等级","通过")</x:f>
        <x:v>#NAME?</x:v>
      </x:c>
    </x:row>
    <x:row r="7">
      <x:c r="A7" s="11" t="inlineStr">
        <x:is>
          <x:t xml:space="preserve">building.player_home</x:t>
        </x:is>
      </x:c>
      <x:c r="B7" s="13" t="n">
        <x:v>3</x:v>
      </x:c>
      <x:c r="C7" s="13" t="n">
        <x:v>1</x:v>
      </x:c>
      <x:c r="D7" s="14" t="e">
        <x:f>IF(COUNTIFS(运营等级!$A$5:$A$24,A7,运营等级!$B$5:$B$24,B7)=0,"错误：缺少等级","通过")</x:f>
        <x:v>#NAME?</x:v>
      </x:c>
    </x:row>
    <x:row r="8">
      <x:c r="A8" s="11" t="inlineStr">
        <x:is>
          <x:t xml:space="preserve">building.player_home</x:t>
        </x:is>
      </x:c>
      <x:c r="B8" s="13" t="n">
        <x:v>4</x:v>
      </x:c>
      <x:c r="C8" s="13" t="n">
        <x:v>1</x:v>
      </x:c>
      <x:c r="D8" s="14" t="e">
        <x:f>IF(COUNTIFS(运营等级!$A$5:$A$24,A8,运营等级!$B$5:$B$24,B8)=0,"错误：缺少等级","通过")</x:f>
        <x:v>#NAME?</x:v>
      </x:c>
    </x:row>
    <x:row r="9">
      <x:c r="A9" s="3" t="n"/>
      <x:c r="B9" s="15" t="n"/>
      <x:c r="C9" s="15" t="n"/>
      <x:c r="D9" s="3" t="n"/>
    </x:row>
    <x:row r="10">
      <x:c r="A10" s="3" t="n"/>
      <x:c r="B10" s="15" t="n"/>
      <x:c r="C10" s="15" t="n"/>
      <x:c r="D10" s="3" t="n"/>
    </x:row>
    <x:row r="11">
      <x:c r="A11" s="3" t="n"/>
      <x:c r="B11" s="15" t="n"/>
      <x:c r="C11" s="15" t="n"/>
      <x:c r="D11" s="3" t="n"/>
    </x:row>
    <x:row r="12">
      <x:c r="A12" s="3" t="n"/>
      <x:c r="B12" s="15" t="n"/>
      <x:c r="C12" s="15" t="n"/>
      <x:c r="D12" s="3" t="n"/>
    </x:row>
    <x:row r="13">
      <x:c r="A13" s="3" t="n"/>
      <x:c r="B13" s="15" t="n"/>
      <x:c r="C13" s="15" t="n"/>
      <x:c r="D13" s="3" t="n"/>
    </x:row>
    <x:row r="14">
      <x:c r="A14" s="3" t="n"/>
      <x:c r="B14" s="15" t="n"/>
      <x:c r="C14" s="15" t="n"/>
      <x:c r="D14" s="3" t="n"/>
    </x:row>
    <x:row r="15">
      <x:c r="A15" s="3" t="n"/>
      <x:c r="B15" s="15" t="n"/>
      <x:c r="C15" s="15" t="n"/>
      <x:c r="D15" s="3" t="n"/>
    </x:row>
    <x:row r="16">
      <x:c r="A16" s="3" t="n"/>
      <x:c r="B16" s="15" t="n"/>
      <x:c r="C16" s="15" t="n"/>
      <x:c r="D16" s="3" t="n"/>
    </x:row>
    <x:row r="17">
      <x:c r="A17" s="3" t="n"/>
      <x:c r="B17" s="15" t="n"/>
      <x:c r="C17" s="15" t="n"/>
      <x:c r="D17" s="3" t="n"/>
    </x:row>
    <x:row r="18">
      <x:c r="A18" s="3" t="n"/>
      <x:c r="B18" s="15" t="n"/>
      <x:c r="C18" s="15" t="n"/>
      <x:c r="D18" s="3" t="n"/>
    </x:row>
    <x:row r="19">
      <x:c r="A19" s="3" t="n"/>
      <x:c r="B19" s="15" t="n"/>
      <x:c r="C19" s="15" t="n"/>
      <x:c r="D19" s="3" t="n"/>
    </x:row>
    <x:row r="20">
      <x:c r="A20" s="3" t="n"/>
      <x:c r="B20" s="15" t="n"/>
      <x:c r="C20" s="15" t="n"/>
      <x:c r="D20" s="3" t="n"/>
    </x:row>
    <x:row r="21">
      <x:c r="A21" s="3" t="n"/>
      <x:c r="B21" s="15" t="n"/>
      <x:c r="C21" s="15" t="n"/>
      <x:c r="D21" s="3" t="n"/>
    </x:row>
    <x:row r="22">
      <x:c r="A22" s="3" t="n"/>
      <x:c r="B22" s="15" t="n"/>
      <x:c r="C22" s="15" t="n"/>
      <x:c r="D22" s="3" t="n"/>
    </x:row>
    <x:row r="23">
      <x:c r="A23" s="3" t="n"/>
      <x:c r="B23" s="15" t="n"/>
      <x:c r="C23" s="15" t="n"/>
      <x:c r="D23" s="3" t="n"/>
    </x:row>
    <x:row r="24">
      <x:c r="A24" s="3" t="n"/>
      <x:c r="B24" s="15" t="n"/>
      <x:c r="C24" s="15" t="n"/>
      <x:c r="D24" s="3" t="n"/>
    </x:row>
  </x:sheetData>
  <x:mergeCells>
    <x:mergeCell ref="A1:D1"/>
    <x:mergeCell ref="A2:D2"/>
  </x:mergeCells>
  <x:conditionalFormatting sqref="D5:D8">
    <x:cfRule type="containsText" dxfId="0" priority="1" operator="between" text="通过">
      <x:formula>NOT(ISERROR(SEARCH("通过",D5)))</x:formula>
    </x:cfRule>
    <x:cfRule type="containsText" dxfId="1" priority="2" operator="between" text="待">
      <x:formula>NOT(ISERROR(SEARCH("待",D5)))</x:formula>
    </x:cfRule>
    <x:cfRule type="containsText" dxfId="2" priority="3" operator="between" text="错误">
      <x:formula>NOT(ISERROR(SEARCH("错误",D5)))</x:formula>
    </x:cfRule>
  </x:conditionalFormatting>
  <x:dataValidations count="1">
    <x:dataValidation type="list" allowBlank="0" showDropDown="0" showInputMessage="0" showErrorMessage="0" sqref="A5:A24">
      <x:formula1>"building.player_home,building.residential_house,building.lumber_cabin,building.fishing_hut,building.farm_field,building.market,building.warehouse,building.road,building.tree"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d2bb04d66c40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2" width="9" style="42" customWidth="1"/>
    <x:col min="3" max="4" width="11" style="42" customWidth="1"/>
    <x:col min="5" max="5" width="15" style="42" customWidth="1"/>
    <x:col min="6" max="6" width="11" style="42" customWidth="1"/>
    <x:col min="7" max="8" width="15" style="42" customWidth="1"/>
    <x:col min="9" max="9" width="11" style="42" customWidth="1"/>
    <x:col min="10" max="11" width="18" style="42" customWidth="1"/>
  </x:cols>
  <x:sheetData>
    <x:row r="1" s="42" customFormat="1" ht="30" customHeight="1">
      <x:c r="A1" s="1" t="inlineStr">
        <x:is>
          <x:t xml:space="preserve">等级配置：居民运营</x:t>
        </x:is>
      </x:c>
    </x:row>
    <x:row r="2" s="42" customFormat="1" ht="38" customHeight="1">
      <x:c r="A2" s="2" t="inlineStr">
        <x:is>
          <x:t xml:space="preserve">对应 ResidentialHousingLevelConfiguration。食物按当前人口每回合消耗，满人口食物/回合是公式提示，不参与导入。</x:t>
        </x:is>
      </x:c>
    </x:row>
    <x:row r="3">
      <x:c r="A3" s="3" t="n"/>
      <x:c r="B3" s="3" t="n"/>
      <x:c r="C3" s="3" t="n"/>
      <x:c r="D3" s="3" t="n"/>
      <x:c r="E3" s="3" t="n"/>
      <x:c r="F3" s="3" t="n"/>
      <x:c r="G3" s="3" t="n"/>
      <x:c r="H3" s="3" t="n"/>
      <x:c r="I3" s="3" t="n"/>
      <x:c r="J3" s="3" t="n"/>
      <x:c r="K3" s="3" t="n"/>
    </x:row>
    <x:row r="4" s="42" customFormat="1" ht="30" customHeight="1">
      <x:c r="A4" s="4" t="inlineStr">
        <x:is>
          <x:t xml:space="preserve">FamilyId</x:t>
        </x:is>
      </x:c>
      <x:c r="B4" s="5" t="inlineStr">
        <x:is>
          <x:t xml:space="preserve">Level</x:t>
        </x:is>
      </x:c>
      <x:c r="C4" s="5" t="inlineStr">
        <x:is>
          <x:t xml:space="preserve">初始人口</x:t>
        </x:is>
      </x:c>
      <x:c r="D4" s="5" t="inlineStr">
        <x:is>
          <x:t xml:space="preserve">人口上限</x:t>
        </x:is>
      </x:c>
      <x:c r="E4" s="5" t="inlineStr">
        <x:is>
          <x:t xml:space="preserve">FoodItemId</x:t>
        </x:is>
      </x:c>
      <x:c r="F4" s="5" t="inlineStr">
        <x:is>
          <x:t xml:space="preserve">增长回合</x:t>
        </x:is>
      </x:c>
      <x:c r="G4" s="5" t="inlineStr">
        <x:is>
          <x:t xml:space="preserve">失败衰减阈值</x:t>
        </x:is>
      </x:c>
      <x:c r="H4" s="5" t="inlineStr">
        <x:is>
          <x:t xml:space="preserve">TaxItemId</x:t>
        </x:is>
      </x:c>
      <x:c r="I4" s="5" t="inlineStr">
        <x:is>
          <x:t xml:space="preserve">税收回合</x:t>
        </x:is>
      </x:c>
      <x:c r="J4" s="5" t="inlineStr">
        <x:is>
          <x:t xml:space="preserve">满人口食物/回合</x:t>
        </x:is>
      </x:c>
      <x:c r="K4" s="6" t="inlineStr">
        <x:is>
          <x:t xml:space="preserve">校验</x:t>
        </x:is>
      </x:c>
    </x:row>
    <x:row r="5">
      <x:c r="A5" s="7" t="inlineStr">
        <x:is>
          <x:t xml:space="preserve">building.residential_house</x:t>
        </x:is>
      </x:c>
      <x:c r="B5" s="9" t="n">
        <x:v>1</x:v>
      </x:c>
      <x:c r="C5" s="9" t="n">
        <x:v>2</x:v>
      </x:c>
      <x:c r="D5" s="9" t="n">
        <x:v>5</x:v>
      </x:c>
      <x:c r="E5" s="9" t="inlineStr">
        <x:is>
          <x:t xml:space="preserve">蔬菜</x:t>
        </x:is>
      </x:c>
      <x:c r="F5" s="9" t="n">
        <x:v>3</x:v>
      </x:c>
      <x:c r="G5" s="9" t="n">
        <x:v>3</x:v>
      </x:c>
      <x:c r="H5" s="9" t="inlineStr">
        <x:is>
          <x:t xml:space="preserve">金币</x:t>
        </x:is>
      </x:c>
      <x:c r="I5" s="9" t="n">
        <x:v>5</x:v>
      </x:c>
      <x:c r="J5" s="8" t="n">
        <x:f>D5</x:f>
        <x:v>5</x:v>
      </x:c>
      <x:c r="K5" s="10" t="str">
        <x:f>IF(D5&lt;C5,"错误：人口上限","通过")</x:f>
        <x:v>通过</x:v>
      </x:c>
    </x:row>
    <x:row r="6">
      <x:c r="A6" s="11" t="inlineStr">
        <x:is>
          <x:t xml:space="preserve">building.residential_house</x:t>
        </x:is>
      </x:c>
      <x:c r="B6" s="13" t="n">
        <x:v>2</x:v>
      </x:c>
      <x:c r="C6" s="13" t="n">
        <x:v>2</x:v>
      </x:c>
      <x:c r="D6" s="13" t="n">
        <x:v>5</x:v>
      </x:c>
      <x:c r="E6" s="13" t="inlineStr">
        <x:is>
          <x:t xml:space="preserve">蔬菜</x:t>
        </x:is>
      </x:c>
      <x:c r="F6" s="13" t="n">
        <x:v>3</x:v>
      </x:c>
      <x:c r="G6" s="13" t="n">
        <x:v>3</x:v>
      </x:c>
      <x:c r="H6" s="13" t="inlineStr">
        <x:is>
          <x:t xml:space="preserve">金币</x:t>
        </x:is>
      </x:c>
      <x:c r="I6" s="13" t="n">
        <x:v>5</x:v>
      </x:c>
      <x:c r="J6" s="12" t="n">
        <x:f>D6</x:f>
        <x:v>5</x:v>
      </x:c>
      <x:c r="K6" s="14" t="str">
        <x:f>IF(D6&lt;C6,"错误：人口上限","通过")</x:f>
        <x:v>通过</x:v>
      </x:c>
    </x:row>
    <x:row r="7">
      <x:c r="A7" s="11" t="inlineStr">
        <x:is>
          <x:t xml:space="preserve">building.residential_house</x:t>
        </x:is>
      </x:c>
      <x:c r="B7" s="13" t="n">
        <x:v>3</x:v>
      </x:c>
      <x:c r="C7" s="13" t="n">
        <x:v>2</x:v>
      </x:c>
      <x:c r="D7" s="13" t="n">
        <x:v>5</x:v>
      </x:c>
      <x:c r="E7" s="13" t="inlineStr">
        <x:is>
          <x:t xml:space="preserve">蔬菜</x:t>
        </x:is>
      </x:c>
      <x:c r="F7" s="13" t="n">
        <x:v>3</x:v>
      </x:c>
      <x:c r="G7" s="13" t="n">
        <x:v>3</x:v>
      </x:c>
      <x:c r="H7" s="13" t="inlineStr">
        <x:is>
          <x:t xml:space="preserve">金币</x:t>
        </x:is>
      </x:c>
      <x:c r="I7" s="13" t="n">
        <x:v>5</x:v>
      </x:c>
      <x:c r="J7" s="12" t="n">
        <x:f>D7</x:f>
        <x:v>5</x:v>
      </x:c>
      <x:c r="K7" s="14" t="str">
        <x:f>IF(D7&lt;C7,"错误：人口上限","通过")</x:f>
        <x:v>通过</x:v>
      </x:c>
    </x:row>
    <x:row r="8">
      <x:c r="A8" s="11" t="inlineStr">
        <x:is>
          <x:t xml:space="preserve">building.residential_house</x:t>
        </x:is>
      </x:c>
      <x:c r="B8" s="13" t="n">
        <x:v>4</x:v>
      </x:c>
      <x:c r="C8" s="13" t="n">
        <x:v>2</x:v>
      </x:c>
      <x:c r="D8" s="13" t="n">
        <x:v>5</x:v>
      </x:c>
      <x:c r="E8" s="13" t="inlineStr">
        <x:is>
          <x:t xml:space="preserve">蔬菜</x:t>
        </x:is>
      </x:c>
      <x:c r="F8" s="13" t="n">
        <x:v>3</x:v>
      </x:c>
      <x:c r="G8" s="13" t="n">
        <x:v>3</x:v>
      </x:c>
      <x:c r="H8" s="13" t="inlineStr">
        <x:is>
          <x:t xml:space="preserve">金币</x:t>
        </x:is>
      </x:c>
      <x:c r="I8" s="13" t="n">
        <x:v>5</x:v>
      </x:c>
      <x:c r="J8" s="12" t="n">
        <x:f>D8</x:f>
        <x:v>5</x:v>
      </x:c>
      <x:c r="K8" s="14" t="str">
        <x:f>IF(D8&lt;C8,"错误：人口上限","通过")</x:f>
        <x:v>通过</x:v>
      </x:c>
    </x:row>
    <x:row r="9">
      <x:c r="A9" s="3" t="n"/>
      <x:c r="B9" s="15" t="n"/>
      <x:c r="C9" s="15" t="n"/>
      <x:c r="D9" s="15" t="n"/>
      <x:c r="E9" s="15" t="n"/>
      <x:c r="F9" s="15" t="n"/>
      <x:c r="G9" s="15" t="n"/>
      <x:c r="H9" s="15" t="n"/>
      <x:c r="I9" s="15" t="n"/>
      <x:c r="J9" s="15" t="n"/>
      <x:c r="K9" s="3" t="n"/>
    </x:row>
    <x:row r="10">
      <x:c r="A10" s="3" t="n"/>
      <x:c r="B10" s="15" t="n"/>
      <x:c r="C10" s="15" t="n"/>
      <x:c r="D10" s="15" t="n"/>
      <x:c r="E10" s="15" t="n"/>
      <x:c r="F10" s="15" t="n"/>
      <x:c r="G10" s="15" t="n"/>
      <x:c r="H10" s="15" t="n"/>
      <x:c r="I10" s="15" t="n"/>
      <x:c r="J10" s="15" t="n"/>
      <x:c r="K10" s="3" t="n"/>
    </x:row>
    <x:row r="11">
      <x:c r="A11" s="3" t="n"/>
      <x:c r="B11" s="15" t="n"/>
      <x:c r="C11" s="15" t="n"/>
      <x:c r="D11" s="15" t="n"/>
      <x:c r="E11" s="15" t="n"/>
      <x:c r="F11" s="15" t="n"/>
      <x:c r="G11" s="15" t="n"/>
      <x:c r="H11" s="15" t="n"/>
      <x:c r="I11" s="15" t="n"/>
      <x:c r="J11" s="15" t="n"/>
      <x:c r="K11" s="3" t="n"/>
    </x:row>
    <x:row r="12">
      <x:c r="A12" s="3" t="n"/>
      <x:c r="B12" s="15" t="n"/>
      <x:c r="C12" s="15" t="n"/>
      <x:c r="D12" s="15" t="n"/>
      <x:c r="E12" s="15" t="n"/>
      <x:c r="F12" s="15" t="n"/>
      <x:c r="G12" s="15" t="n"/>
      <x:c r="H12" s="15" t="n"/>
      <x:c r="I12" s="15" t="n"/>
      <x:c r="J12" s="15" t="n"/>
      <x:c r="K12" s="3" t="n"/>
    </x:row>
    <x:row r="13">
      <x:c r="A13" s="3" t="n"/>
      <x:c r="B13" s="15" t="n"/>
      <x:c r="C13" s="15" t="n"/>
      <x:c r="D13" s="15" t="n"/>
      <x:c r="E13" s="15" t="n"/>
      <x:c r="F13" s="15" t="n"/>
      <x:c r="G13" s="15" t="n"/>
      <x:c r="H13" s="15" t="n"/>
      <x:c r="I13" s="15" t="n"/>
      <x:c r="J13" s="15" t="n"/>
      <x:c r="K13" s="3" t="n"/>
    </x:row>
    <x:row r="14">
      <x:c r="A14" s="3" t="n"/>
      <x:c r="B14" s="15" t="n"/>
      <x:c r="C14" s="15" t="n"/>
      <x:c r="D14" s="15" t="n"/>
      <x:c r="E14" s="15" t="n"/>
      <x:c r="F14" s="15" t="n"/>
      <x:c r="G14" s="15" t="n"/>
      <x:c r="H14" s="15" t="n"/>
      <x:c r="I14" s="15" t="n"/>
      <x:c r="J14" s="15" t="n"/>
      <x:c r="K14" s="3" t="n"/>
    </x:row>
    <x:row r="15">
      <x:c r="A15" s="3" t="n"/>
      <x:c r="B15" s="15" t="n"/>
      <x:c r="C15" s="15" t="n"/>
      <x:c r="D15" s="15" t="n"/>
      <x:c r="E15" s="15" t="n"/>
      <x:c r="F15" s="15" t="n"/>
      <x:c r="G15" s="15" t="n"/>
      <x:c r="H15" s="15" t="n"/>
      <x:c r="I15" s="15" t="n"/>
      <x:c r="J15" s="15" t="n"/>
      <x:c r="K15" s="3" t="n"/>
    </x:row>
    <x:row r="16">
      <x:c r="A16" s="3" t="n"/>
      <x:c r="B16" s="15" t="n"/>
      <x:c r="C16" s="15" t="n"/>
      <x:c r="D16" s="15" t="n"/>
      <x:c r="E16" s="15" t="n"/>
      <x:c r="F16" s="15" t="n"/>
      <x:c r="G16" s="15" t="n"/>
      <x:c r="H16" s="15" t="n"/>
      <x:c r="I16" s="15" t="n"/>
      <x:c r="J16" s="15" t="n"/>
      <x:c r="K16" s="3" t="n"/>
    </x:row>
    <x:row r="17">
      <x:c r="A17" s="3" t="n"/>
      <x:c r="B17" s="15" t="n"/>
      <x:c r="C17" s="15" t="n"/>
      <x:c r="D17" s="15" t="n"/>
      <x:c r="E17" s="15" t="n"/>
      <x:c r="F17" s="15" t="n"/>
      <x:c r="G17" s="15" t="n"/>
      <x:c r="H17" s="15" t="n"/>
      <x:c r="I17" s="15" t="n"/>
      <x:c r="J17" s="15" t="n"/>
      <x:c r="K17" s="3" t="n"/>
    </x:row>
    <x:row r="18">
      <x:c r="A18" s="3" t="n"/>
      <x:c r="B18" s="15" t="n"/>
      <x:c r="C18" s="15" t="n"/>
      <x:c r="D18" s="15" t="n"/>
      <x:c r="E18" s="15" t="n"/>
      <x:c r="F18" s="15" t="n"/>
      <x:c r="G18" s="15" t="n"/>
      <x:c r="H18" s="15" t="n"/>
      <x:c r="I18" s="15" t="n"/>
      <x:c r="J18" s="15" t="n"/>
      <x:c r="K18" s="3" t="n"/>
    </x:row>
    <x:row r="19">
      <x:c r="A19" s="3" t="n"/>
      <x:c r="B19" s="15" t="n"/>
      <x:c r="C19" s="15" t="n"/>
      <x:c r="D19" s="15" t="n"/>
      <x:c r="E19" s="15" t="n"/>
      <x:c r="F19" s="15" t="n"/>
      <x:c r="G19" s="15" t="n"/>
      <x:c r="H19" s="15" t="n"/>
      <x:c r="I19" s="15" t="n"/>
      <x:c r="J19" s="15" t="n"/>
      <x:c r="K19" s="3" t="n"/>
    </x:row>
    <x:row r="20">
      <x:c r="A20" s="3" t="n"/>
      <x:c r="B20" s="15" t="n"/>
      <x:c r="C20" s="15" t="n"/>
      <x:c r="D20" s="15" t="n"/>
      <x:c r="E20" s="15" t="n"/>
      <x:c r="F20" s="15" t="n"/>
      <x:c r="G20" s="15" t="n"/>
      <x:c r="H20" s="15" t="n"/>
      <x:c r="I20" s="15" t="n"/>
      <x:c r="J20" s="15" t="n"/>
      <x:c r="K20" s="3" t="n"/>
    </x:row>
    <x:row r="21">
      <x:c r="A21" s="3" t="n"/>
      <x:c r="B21" s="15" t="n"/>
      <x:c r="C21" s="15" t="n"/>
      <x:c r="D21" s="15" t="n"/>
      <x:c r="E21" s="15" t="n"/>
      <x:c r="F21" s="15" t="n"/>
      <x:c r="G21" s="15" t="n"/>
      <x:c r="H21" s="15" t="n"/>
      <x:c r="I21" s="15" t="n"/>
      <x:c r="J21" s="15" t="n"/>
      <x:c r="K21" s="3" t="n"/>
    </x:row>
    <x:row r="22">
      <x:c r="A22" s="3" t="n"/>
      <x:c r="B22" s="15" t="n"/>
      <x:c r="C22" s="15" t="n"/>
      <x:c r="D22" s="15" t="n"/>
      <x:c r="E22" s="15" t="n"/>
      <x:c r="F22" s="15" t="n"/>
      <x:c r="G22" s="15" t="n"/>
      <x:c r="H22" s="15" t="n"/>
      <x:c r="I22" s="15" t="n"/>
      <x:c r="J22" s="15" t="n"/>
      <x:c r="K22" s="3" t="n"/>
    </x:row>
    <x:row r="23">
      <x:c r="A23" s="3" t="n"/>
      <x:c r="B23" s="15" t="n"/>
      <x:c r="C23" s="15" t="n"/>
      <x:c r="D23" s="15" t="n"/>
      <x:c r="E23" s="15" t="n"/>
      <x:c r="F23" s="15" t="n"/>
      <x:c r="G23" s="15" t="n"/>
      <x:c r="H23" s="15" t="n"/>
      <x:c r="I23" s="15" t="n"/>
      <x:c r="J23" s="15" t="n"/>
      <x:c r="K23" s="3" t="n"/>
    </x:row>
    <x:row r="24">
      <x:c r="A24" s="3" t="n"/>
      <x:c r="B24" s="15" t="n"/>
      <x:c r="C24" s="15" t="n"/>
      <x:c r="D24" s="15" t="n"/>
      <x:c r="E24" s="15" t="n"/>
      <x:c r="F24" s="15" t="n"/>
      <x:c r="G24" s="15" t="n"/>
      <x:c r="H24" s="15" t="n"/>
      <x:c r="I24" s="15" t="n"/>
      <x:c r="J24" s="15" t="n"/>
      <x:c r="K24" s="3" t="n"/>
    </x:row>
  </x:sheetData>
  <x:mergeCells>
    <x:mergeCell ref="A2:K2"/>
    <x:mergeCell ref="A1:K1"/>
  </x:mergeCells>
  <x:conditionalFormatting sqref="K5:K24">
    <x:cfRule type="containsText" dxfId="0" priority="1" operator="between" text="通过">
      <x:formula>NOT(ISERROR(SEARCH("通过",K5)))</x:formula>
    </x:cfRule>
    <x:cfRule type="containsText" dxfId="1" priority="2" operator="between" text="待">
      <x:formula>NOT(ISERROR(SEARCH("待",K5)))</x:formula>
    </x:cfRule>
    <x:cfRule type="containsText" dxfId="2" priority="3" operator="between" text="错误">
      <x:formula>NOT(ISERROR(SEARCH("错误",K5)))</x:formula>
    </x:cfRule>
  </x:conditionalFormatting>
  <x:dataValidations count="2">
    <x:dataValidation type="list" allowBlank="0" showDropDown="0" showInputMessage="0" showErrorMessage="0" sqref="A5:A24">
      <x:formula1>"building.player_home,building.residential_house,building.lumber_cabin,building.fishing_hut,building.farm_field,building.market,building.warehouse,building.road,building.tree"</x:formula1>
    </x:dataValidation>
    <x:dataValidation type="list" allowBlank="0" showDropDown="0" showInputMessage="0" showErrorMessage="0" sqref="E5:E24 H5:H24">
      <x:formula1>"金币,泥土,石头,原木,木板,树苗,蔬菜,鱼,黄金鱼"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a55f94c589439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2" width="9" style="42" customWidth="1"/>
    <x:col min="3" max="4" width="11" style="42" customWidth="1"/>
    <x:col min="5" max="5" width="13" style="42" customWidth="1"/>
    <x:col min="6" max="7" width="11" style="42" customWidth="1"/>
    <x:col min="8" max="9" width="15" style="42" customWidth="1"/>
    <x:col min="10" max="10" width="20" style="42" customWidth="1"/>
  </x:cols>
  <x:sheetData>
    <x:row r="1" s="42" customFormat="1" ht="30" customHeight="1">
      <x:c r="A1" s="1" t="inlineStr">
        <x:is>
          <x:t xml:space="preserve">等级配置：岗位运营</x:t>
        </x:is>
      </x:c>
    </x:row>
    <x:row r="2" s="42" customFormat="1" ht="38" customHeight="1">
      <x:c r="A2" s="2" t="inlineStr">
        <x:is>
          <x:t xml:space="preserve">对应 BuildingWorkforceLevelConfiguration。每个拥有 workforce 模块的运营等级必须恰好一行。</x:t>
        </x:is>
      </x:c>
    </x:row>
    <x:row r="3">
      <x:c r="A3" s="3" t="n"/>
      <x:c r="B3" s="3" t="n"/>
      <x:c r="C3" s="3" t="n"/>
      <x:c r="D3" s="3" t="n"/>
      <x:c r="E3" s="3" t="n"/>
      <x:c r="F3" s="3" t="n"/>
      <x:c r="G3" s="3" t="n"/>
      <x:c r="H3" s="3" t="n"/>
      <x:c r="I3" s="3" t="n"/>
      <x:c r="J3" s="3" t="n"/>
    </x:row>
    <x:row r="4" s="42" customFormat="1" ht="30" customHeight="1">
      <x:c r="A4" s="4" t="inlineStr">
        <x:is>
          <x:t xml:space="preserve">FamilyId</x:t>
        </x:is>
      </x:c>
      <x:c r="B4" s="5" t="inlineStr">
        <x:is>
          <x:t xml:space="preserve">Level</x:t>
        </x:is>
      </x:c>
      <x:c r="C4" s="5" t="inlineStr">
        <x:is>
          <x:t xml:space="preserve">最大工人</x:t>
        </x:is>
      </x:c>
      <x:c r="D4" s="5" t="inlineStr">
        <x:is>
          <x:t xml:space="preserve">初始工人</x:t>
        </x:is>
      </x:c>
      <x:c r="E4" s="5" t="inlineStr">
        <x:is>
          <x:t xml:space="preserve">基础吸引力</x:t>
        </x:is>
      </x:c>
      <x:c r="F4" s="5" t="inlineStr">
        <x:is>
          <x:t xml:space="preserve">招工金币</x:t>
        </x:is>
      </x:c>
      <x:c r="G4" s="5" t="inlineStr">
        <x:is>
          <x:t xml:space="preserve">自动补贴</x:t>
        </x:is>
      </x:c>
      <x:c r="H4" s="5" t="inlineStr">
        <x:is>
          <x:t xml:space="preserve">稳定目标工人</x:t>
        </x:is>
      </x:c>
      <x:c r="I4" s="5" t="inlineStr">
        <x:is>
          <x:t xml:space="preserve">GoldItemId</x:t>
        </x:is>
      </x:c>
      <x:c r="J4" s="6" t="inlineStr">
        <x:is>
          <x:t xml:space="preserve">校验</x:t>
        </x:is>
      </x:c>
    </x:row>
    <x:row r="5">
      <x:c r="A5" s="7" t="inlineStr">
        <x:is>
          <x:t xml:space="preserve">building.lumber_cabin</x:t>
        </x:is>
      </x:c>
      <x:c r="B5" s="9" t="n">
        <x:v>1</x:v>
      </x:c>
      <x:c r="C5" s="9" t="n">
        <x:v>3</x:v>
      </x:c>
      <x:c r="D5" s="9" t="n">
        <x:v>2</x:v>
      </x:c>
      <x:c r="E5" s="9" t="n">
        <x:v>55</x:v>
      </x:c>
      <x:c r="F5" s="9" t="n">
        <x:v>10</x:v>
      </x:c>
      <x:c r="G5" s="7" t="inlineStr">
        <x:is>
          <x:t xml:space="preserve">否</x:t>
        </x:is>
      </x:c>
      <x:c r="H5" s="9" t="n">
        <x:v>0</x:v>
      </x:c>
      <x:c r="I5" s="7" t="inlineStr">
        <x:is>
          <x:t xml:space="preserve">金币</x:t>
        </x:is>
      </x:c>
      <x:c r="J5" s="10" t="str">
        <x:f>IF(OR(D5&gt;C5,H5&gt;C5),"错误：工人超上限","通过")</x:f>
        <x:v>通过</x:v>
      </x:c>
    </x:row>
    <x:row r="6">
      <x:c r="A6" s="11" t="inlineStr">
        <x:is>
          <x:t xml:space="preserve">building.lumber_cabin</x:t>
        </x:is>
      </x:c>
      <x:c r="B6" s="13" t="n">
        <x:v>2</x:v>
      </x:c>
      <x:c r="C6" s="13" t="n">
        <x:v>5</x:v>
      </x:c>
      <x:c r="D6" s="13" t="n">
        <x:v>2</x:v>
      </x:c>
      <x:c r="E6" s="13" t="n">
        <x:v>55</x:v>
      </x:c>
      <x:c r="F6" s="13" t="n">
        <x:v>10</x:v>
      </x:c>
      <x:c r="G6" s="11" t="inlineStr">
        <x:is>
          <x:t xml:space="preserve">否</x:t>
        </x:is>
      </x:c>
      <x:c r="H6" s="13" t="n">
        <x:v>0</x:v>
      </x:c>
      <x:c r="I6" s="11" t="inlineStr">
        <x:is>
          <x:t xml:space="preserve">金币</x:t>
        </x:is>
      </x:c>
      <x:c r="J6" s="14" t="str">
        <x:f>IF(OR(D6&gt;C6,H6&gt;C6),"错误：工人超上限","通过")</x:f>
        <x:v>通过</x:v>
      </x:c>
    </x:row>
    <x:row r="7">
      <x:c r="A7" s="11" t="inlineStr">
        <x:is>
          <x:t xml:space="preserve">building.fishing_hut</x:t>
        </x:is>
      </x:c>
      <x:c r="B7" s="13" t="n">
        <x:v>1</x:v>
      </x:c>
      <x:c r="C7" s="13" t="n">
        <x:v>3</x:v>
      </x:c>
      <x:c r="D7" s="13" t="n">
        <x:v>0</x:v>
      </x:c>
      <x:c r="E7" s="13" t="n">
        <x:v>55</x:v>
      </x:c>
      <x:c r="F7" s="13" t="n">
        <x:v>10</x:v>
      </x:c>
      <x:c r="G7" s="11" t="inlineStr">
        <x:is>
          <x:t xml:space="preserve">否</x:t>
        </x:is>
      </x:c>
      <x:c r="H7" s="13" t="n">
        <x:v>0</x:v>
      </x:c>
      <x:c r="I7" s="11" t="inlineStr">
        <x:is>
          <x:t xml:space="preserve">金币</x:t>
        </x:is>
      </x:c>
      <x:c r="J7" s="14" t="str">
        <x:f>IF(OR(D7&gt;C7,H7&gt;C7),"错误：工人超上限","通过")</x:f>
        <x:v>通过</x:v>
      </x:c>
    </x:row>
    <x:row r="8">
      <x:c r="A8" s="11" t="inlineStr">
        <x:is>
          <x:t xml:space="preserve">building.fishing_hut</x:t>
        </x:is>
      </x:c>
      <x:c r="B8" s="13" t="n">
        <x:v>2</x:v>
      </x:c>
      <x:c r="C8" s="13" t="n">
        <x:v>3</x:v>
      </x:c>
      <x:c r="D8" s="13" t="n">
        <x:v>0</x:v>
      </x:c>
      <x:c r="E8" s="13" t="n">
        <x:v>55</x:v>
      </x:c>
      <x:c r="F8" s="13" t="n">
        <x:v>10</x:v>
      </x:c>
      <x:c r="G8" s="11" t="inlineStr">
        <x:is>
          <x:t xml:space="preserve">否</x:t>
        </x:is>
      </x:c>
      <x:c r="H8" s="13" t="n">
        <x:v>0</x:v>
      </x:c>
      <x:c r="I8" s="11" t="inlineStr">
        <x:is>
          <x:t xml:space="preserve">金币</x:t>
        </x:is>
      </x:c>
      <x:c r="J8" s="14" t="str">
        <x:f>IF(OR(D8&gt;C8,H8&gt;C8),"错误：工人超上限","通过")</x:f>
        <x:v>通过</x:v>
      </x:c>
    </x:row>
    <x:row r="9">
      <x:c r="A9" s="11" t="inlineStr">
        <x:is>
          <x:t xml:space="preserve">building.farm_field</x:t>
        </x:is>
      </x:c>
      <x:c r="B9" s="13" t="n">
        <x:v>1</x:v>
      </x:c>
      <x:c r="C9" s="13" t="n">
        <x:v>2</x:v>
      </x:c>
      <x:c r="D9" s="13" t="n">
        <x:v>0</x:v>
      </x:c>
      <x:c r="E9" s="13" t="n">
        <x:v>55</x:v>
      </x:c>
      <x:c r="F9" s="13" t="n">
        <x:v>10</x:v>
      </x:c>
      <x:c r="G9" s="11" t="inlineStr">
        <x:is>
          <x:t xml:space="preserve">否</x:t>
        </x:is>
      </x:c>
      <x:c r="H9" s="13" t="n">
        <x:v>0</x:v>
      </x:c>
      <x:c r="I9" s="11" t="inlineStr">
        <x:is>
          <x:t xml:space="preserve">金币</x:t>
        </x:is>
      </x:c>
      <x:c r="J9" s="14" t="str">
        <x:f>IF(OR(D9&gt;C9,H9&gt;C9),"错误：工人超上限","通过")</x:f>
        <x:v>通过</x:v>
      </x:c>
    </x:row>
    <x:row r="10">
      <x:c r="A10" s="11" t="inlineStr">
        <x:is>
          <x:t xml:space="preserve">building.market</x:t>
        </x:is>
      </x:c>
      <x:c r="B10" s="13" t="n">
        <x:v>1</x:v>
      </x:c>
      <x:c r="C10" s="13" t="n">
        <x:v>3</x:v>
      </x:c>
      <x:c r="D10" s="13" t="n">
        <x:v>3</x:v>
      </x:c>
      <x:c r="E10" s="13" t="n">
        <x:v>100</x:v>
      </x:c>
      <x:c r="F10" s="13" t="n">
        <x:v>10</x:v>
      </x:c>
      <x:c r="G10" s="11" t="inlineStr">
        <x:is>
          <x:t xml:space="preserve">是</x:t>
        </x:is>
      </x:c>
      <x:c r="H10" s="13" t="n">
        <x:v>3</x:v>
      </x:c>
      <x:c r="I10" s="11" t="inlineStr">
        <x:is>
          <x:t xml:space="preserve">金币</x:t>
        </x:is>
      </x:c>
      <x:c r="J10" s="14" t="str">
        <x:f>IF(OR(D10&gt;C10,H10&gt;C10),"错误：工人超上限","通过")</x:f>
        <x:v>通过</x:v>
      </x:c>
    </x:row>
    <x:row r="11">
      <x:c r="A11" s="11" t="inlineStr">
        <x:is>
          <x:t xml:space="preserve">building.warehouse</x:t>
        </x:is>
      </x:c>
      <x:c r="B11" s="13" t="n">
        <x:v>1</x:v>
      </x:c>
      <x:c r="C11" s="13" t="n">
        <x:v>2</x:v>
      </x:c>
      <x:c r="D11" s="13" t="n">
        <x:v>0</x:v>
      </x:c>
      <x:c r="E11" s="13" t="n">
        <x:v>55</x:v>
      </x:c>
      <x:c r="F11" s="13" t="n">
        <x:v>10</x:v>
      </x:c>
      <x:c r="G11" s="11" t="inlineStr">
        <x:is>
          <x:t xml:space="preserve">否</x:t>
        </x:is>
      </x:c>
      <x:c r="H11" s="13" t="n">
        <x:v>0</x:v>
      </x:c>
      <x:c r="I11" s="11" t="inlineStr">
        <x:is>
          <x:t xml:space="preserve">金币</x:t>
        </x:is>
      </x:c>
      <x:c r="J11" s="14" t="str">
        <x:f>IF(OR(D11&gt;C11,H11&gt;C11),"错误：工人超上限","通过")</x:f>
        <x:v>通过</x:v>
      </x:c>
    </x:row>
    <x:row r="12">
      <x:c r="A12" s="11" t="inlineStr">
        <x:is>
          <x:t xml:space="preserve">building.warehouse</x:t>
        </x:is>
      </x:c>
      <x:c r="B12" s="13" t="n">
        <x:v>2</x:v>
      </x:c>
      <x:c r="C12" s="13" t="n">
        <x:v>3</x:v>
      </x:c>
      <x:c r="D12" s="13" t="n">
        <x:v>0</x:v>
      </x:c>
      <x:c r="E12" s="13" t="n">
        <x:v>55</x:v>
      </x:c>
      <x:c r="F12" s="13" t="n">
        <x:v>10</x:v>
      </x:c>
      <x:c r="G12" s="11" t="inlineStr">
        <x:is>
          <x:t xml:space="preserve">否</x:t>
        </x:is>
      </x:c>
      <x:c r="H12" s="13" t="n">
        <x:v>0</x:v>
      </x:c>
      <x:c r="I12" s="11" t="inlineStr">
        <x:is>
          <x:t xml:space="preserve">金币</x:t>
        </x:is>
      </x:c>
      <x:c r="J12" s="14" t="str">
        <x:f>IF(OR(D12&gt;C12,H12&gt;C12),"错误：工人超上限","通过")</x:f>
        <x:v>通过</x:v>
      </x:c>
    </x:row>
    <x:row r="13">
      <x:c r="A13" s="11" t="inlineStr">
        <x:is>
          <x:t xml:space="preserve">building.warehouse</x:t>
        </x:is>
      </x:c>
      <x:c r="B13" s="13" t="n">
        <x:v>3</x:v>
      </x:c>
      <x:c r="C13" s="13" t="n">
        <x:v>5</x:v>
      </x:c>
      <x:c r="D13" s="13" t="n">
        <x:v>0</x:v>
      </x:c>
      <x:c r="E13" s="13" t="n">
        <x:v>55</x:v>
      </x:c>
      <x:c r="F13" s="13" t="n">
        <x:v>10</x:v>
      </x:c>
      <x:c r="G13" s="11" t="inlineStr">
        <x:is>
          <x:t xml:space="preserve">否</x:t>
        </x:is>
      </x:c>
      <x:c r="H13" s="13" t="n">
        <x:v>0</x:v>
      </x:c>
      <x:c r="I13" s="11" t="inlineStr">
        <x:is>
          <x:t xml:space="preserve">金币</x:t>
        </x:is>
      </x:c>
      <x:c r="J13" s="14" t="str">
        <x:f>IF(OR(D13&gt;C13,H13&gt;C13),"错误：工人超上限","通过")</x:f>
        <x:v>通过</x:v>
      </x:c>
    </x:row>
    <x:row r="14">
      <x:c r="A14" s="3" t="str">
        <x:v>building.quarry</x:v>
      </x:c>
      <x:c r="B14" s="15" t="n">
        <x:v>1</x:v>
      </x:c>
      <x:c r="C14" s="15" t="n">
        <x:v>6</x:v>
      </x:c>
      <x:c r="D14" s="15" t="n">
        <x:v>0</x:v>
      </x:c>
      <x:c r="E14" s="15" t="n">
        <x:v>55</x:v>
      </x:c>
      <x:c r="F14" s="15" t="n">
        <x:v>10</x:v>
      </x:c>
      <x:c r="G14" s="3" t="str">
        <x:v>否</x:v>
      </x:c>
      <x:c r="H14" s="15" t="n">
        <x:v>0</x:v>
      </x:c>
      <x:c r="I14" s="3" t="str">
        <x:v>金币</x:v>
      </x:c>
      <x:c r="J14" s="3" t="str">
        <x:f>IF(OR(D14&gt;C14,H14&gt;C14),"错误：工人超上限","通过")</x:f>
        <x:v>通过</x:v>
      </x:c>
    </x:row>
    <x:row r="15">
      <x:c r="A15" s="3" t="str">
        <x:v>building.quarry</x:v>
      </x:c>
      <x:c r="B15" s="15" t="n">
        <x:v>2</x:v>
      </x:c>
      <x:c r="C15" s="15" t="n">
        <x:v>6</x:v>
      </x:c>
      <x:c r="D15" s="15" t="n">
        <x:v>0</x:v>
      </x:c>
      <x:c r="E15" s="15" t="n">
        <x:v>55</x:v>
      </x:c>
      <x:c r="F15" s="15" t="n">
        <x:v>10</x:v>
      </x:c>
      <x:c r="G15" s="3" t="str">
        <x:v>否</x:v>
      </x:c>
      <x:c r="H15" s="15" t="n">
        <x:v>0</x:v>
      </x:c>
      <x:c r="I15" s="3" t="str">
        <x:v>金币</x:v>
      </x:c>
      <x:c r="J15" s="3" t="str">
        <x:f>IF(OR(D15&gt;C15,H15&gt;C15),"错误：工人超上限","通过")</x:f>
        <x:v>通过</x:v>
      </x:c>
    </x:row>
    <x:row r="16">
      <x:c r="A16" s="3" t="str">
        <x:v>building.quarry</x:v>
      </x:c>
      <x:c r="B16" s="15" t="n">
        <x:v>3</x:v>
      </x:c>
      <x:c r="C16" s="15" t="n">
        <x:v>6</x:v>
      </x:c>
      <x:c r="D16" s="15" t="n">
        <x:v>0</x:v>
      </x:c>
      <x:c r="E16" s="15" t="n">
        <x:v>55</x:v>
      </x:c>
      <x:c r="F16" s="15" t="n">
        <x:v>10</x:v>
      </x:c>
      <x:c r="G16" s="3" t="str">
        <x:v>否</x:v>
      </x:c>
      <x:c r="H16" s="15" t="n">
        <x:v>0</x:v>
      </x:c>
      <x:c r="I16" s="3" t="str">
        <x:v>金币</x:v>
      </x:c>
      <x:c r="J16" s="3" t="str">
        <x:f>IF(OR(D16&gt;C16,H16&gt;C16),"错误：工人超上限","通过")</x:f>
        <x:v>通过</x:v>
      </x:c>
    </x:row>
    <x:row r="17">
      <x:c r="A17" s="3" t="str">
        <x:v>building.hospital</x:v>
      </x:c>
      <x:c r="B17" s="15" t="n">
        <x:v>1</x:v>
      </x:c>
      <x:c r="C17" s="15" t="n">
        <x:v>4</x:v>
      </x:c>
      <x:c r="D17" s="15" t="n">
        <x:v>0</x:v>
      </x:c>
      <x:c r="E17" s="15" t="n">
        <x:v>55</x:v>
      </x:c>
      <x:c r="F17" s="15" t="n">
        <x:v>10</x:v>
      </x:c>
      <x:c r="G17" s="3" t="str">
        <x:v>否</x:v>
      </x:c>
      <x:c r="H17" s="15" t="n">
        <x:v>0</x:v>
      </x:c>
      <x:c r="I17" s="3" t="str">
        <x:v>金币</x:v>
      </x:c>
      <x:c r="J17" s="3" t="str">
        <x:f>IF(OR(D17&gt;C17,H17&gt;C17),"错误：工人超上限","通过")</x:f>
        <x:v>通过</x:v>
      </x:c>
    </x:row>
    <x:row r="18">
      <x:c r="A18" s="3" t="str">
        <x:v>building.hospital</x:v>
      </x:c>
      <x:c r="B18" s="15" t="n">
        <x:v>2</x:v>
      </x:c>
      <x:c r="C18" s="15" t="n">
        <x:v>8</x:v>
      </x:c>
      <x:c r="D18" s="15" t="n">
        <x:v>0</x:v>
      </x:c>
      <x:c r="E18" s="15" t="n">
        <x:v>55</x:v>
      </x:c>
      <x:c r="F18" s="15" t="n">
        <x:v>10</x:v>
      </x:c>
      <x:c r="G18" s="3" t="str">
        <x:v>否</x:v>
      </x:c>
      <x:c r="H18" s="15" t="n">
        <x:v>0</x:v>
      </x:c>
      <x:c r="I18" s="3" t="str">
        <x:v>金币</x:v>
      </x:c>
      <x:c r="J18" s="3" t="str">
        <x:f>IF(OR(D18&gt;C18,H18&gt;C18),"错误：工人超上限","通过")</x:f>
        <x:v>通过</x:v>
      </x:c>
    </x:row>
    <x:row r="19">
      <x:c r="A19" s="3" t="str">
        <x:v>building.hospital</x:v>
      </x:c>
      <x:c r="B19" s="15" t="n">
        <x:v>3</x:v>
      </x:c>
      <x:c r="C19" s="15" t="n">
        <x:v>16</x:v>
      </x:c>
      <x:c r="D19" s="15" t="n">
        <x:v>0</x:v>
      </x:c>
      <x:c r="E19" s="15" t="n">
        <x:v>55</x:v>
      </x:c>
      <x:c r="F19" s="15" t="n">
        <x:v>10</x:v>
      </x:c>
      <x:c r="G19" s="3" t="str">
        <x:v>否</x:v>
      </x:c>
      <x:c r="H19" s="15" t="n">
        <x:v>0</x:v>
      </x:c>
      <x:c r="I19" s="3" t="str">
        <x:v>金币</x:v>
      </x:c>
      <x:c r="J19" s="3" t="str">
        <x:f>IF(OR(D19&gt;C19,H19&gt;C19),"错误：工人超上限","通过")</x:f>
        <x:v>通过</x:v>
      </x:c>
    </x:row>
    <x:row r="20">
      <x:c r="A20" s="148" t="str">
        <x:v>building.police_station</x:v>
      </x:c>
      <x:c r="B20" s="149" t="n">
        <x:v>1</x:v>
      </x:c>
      <x:c r="C20" s="149" t="n">
        <x:v>4</x:v>
      </x:c>
      <x:c r="D20" s="149" t="n">
        <x:v>0</x:v>
      </x:c>
      <x:c r="E20" s="149" t="n">
        <x:v>55</x:v>
      </x:c>
      <x:c r="F20" s="149" t="n">
        <x:v>10</x:v>
      </x:c>
      <x:c r="G20" s="148" t="str">
        <x:v>否</x:v>
      </x:c>
      <x:c r="H20" s="149" t="n">
        <x:v>0</x:v>
      </x:c>
      <x:c r="I20" s="148" t="str">
        <x:v>金币</x:v>
      </x:c>
      <x:c r="J20" s="155" t="str">
        <x:f>IF(OR(D20&gt;C20,H20&gt;C20),"错误：工人超上限","通过")</x:f>
        <x:v>通过</x:v>
      </x:c>
    </x:row>
    <x:row r="21">
      <x:c r="A21" s="148" t="str">
        <x:v>building.police_station</x:v>
      </x:c>
      <x:c r="B21" s="149" t="n">
        <x:v>2</x:v>
      </x:c>
      <x:c r="C21" s="149" t="n">
        <x:v>8</x:v>
      </x:c>
      <x:c r="D21" s="149" t="n">
        <x:v>0</x:v>
      </x:c>
      <x:c r="E21" s="149" t="n">
        <x:v>55</x:v>
      </x:c>
      <x:c r="F21" s="149" t="n">
        <x:v>10</x:v>
      </x:c>
      <x:c r="G21" s="148" t="str">
        <x:v>否</x:v>
      </x:c>
      <x:c r="H21" s="149" t="n">
        <x:v>0</x:v>
      </x:c>
      <x:c r="I21" s="148" t="str">
        <x:v>金币</x:v>
      </x:c>
      <x:c r="J21" s="155" t="str">
        <x:f>IF(OR(D21&gt;C21,H21&gt;C21),"错误：工人超上限","通过")</x:f>
        <x:v>通过</x:v>
      </x:c>
    </x:row>
    <x:row r="22">
      <x:c r="A22" s="148" t="str">
        <x:v>building.police_station</x:v>
      </x:c>
      <x:c r="B22" s="149" t="n">
        <x:v>3</x:v>
      </x:c>
      <x:c r="C22" s="149" t="n">
        <x:v>16</x:v>
      </x:c>
      <x:c r="D22" s="149" t="n">
        <x:v>0</x:v>
      </x:c>
      <x:c r="E22" s="149" t="n">
        <x:v>55</x:v>
      </x:c>
      <x:c r="F22" s="149" t="n">
        <x:v>10</x:v>
      </x:c>
      <x:c r="G22" s="148" t="str">
        <x:v>否</x:v>
      </x:c>
      <x:c r="H22" s="149" t="n">
        <x:v>0</x:v>
      </x:c>
      <x:c r="I22" s="148" t="str">
        <x:v>金币</x:v>
      </x:c>
      <x:c r="J22" s="155" t="str">
        <x:f>IF(OR(D22&gt;C22,H22&gt;C22),"错误：工人超上限","通过")</x:f>
        <x:v>通过</x:v>
      </x:c>
    </x:row>
    <x:row r="23">
      <x:c r="A23" s="3" t="n"/>
      <x:c r="B23" s="15" t="n"/>
      <x:c r="C23" s="15" t="n"/>
      <x:c r="D23" s="15" t="n"/>
      <x:c r="E23" s="15" t="n"/>
      <x:c r="F23" s="15" t="n"/>
      <x:c r="G23" s="3" t="n"/>
      <x:c r="H23" s="15" t="n"/>
      <x:c r="I23" s="3" t="n"/>
      <x:c r="J23" s="3" t="n"/>
    </x:row>
    <x:row r="24">
      <x:c r="A24" s="3" t="n"/>
      <x:c r="B24" s="15" t="n"/>
      <x:c r="C24" s="15" t="n"/>
      <x:c r="D24" s="15" t="n"/>
      <x:c r="E24" s="15" t="n"/>
      <x:c r="F24" s="15" t="n"/>
      <x:c r="G24" s="3" t="n"/>
      <x:c r="H24" s="15" t="n"/>
      <x:c r="I24" s="3" t="n"/>
      <x:c r="J24" s="3" t="n"/>
    </x:row>
  </x:sheetData>
  <x:mergeCells>
    <x:mergeCell ref="A1:J1"/>
    <x:mergeCell ref="A2:J2"/>
  </x:mergeCells>
  <x:conditionalFormatting sqref="J5:J24">
    <x:cfRule type="containsText" dxfId="0" priority="1" operator="between" text="通过">
      <x:formula>NOT(ISERROR(SEARCH("通过",J5)))</x:formula>
    </x:cfRule>
    <x:cfRule type="containsText" dxfId="1" priority="2" operator="between" text="待">
      <x:formula>NOT(ISERROR(SEARCH("待",J5)))</x:formula>
    </x:cfRule>
    <x:cfRule type="containsText" dxfId="2" priority="3" operator="between" text="错误">
      <x:formula>NOT(ISERROR(SEARCH("错误",J5)))</x:formula>
    </x:cfRule>
  </x:conditionalFormatting>
  <x:dataValidations count="3">
    <x:dataValidation type="list" allowBlank="0" showDropDown="0" showInputMessage="0" showErrorMessage="0" sqref="A5:A24">
      <x:formula1>"building.player_home,building.residential_house,building.lumber_cabin,building.fishing_hut,building.farm_field,building.market,building.warehouse,building.road,building.tree"</x:formula1>
    </x:dataValidation>
    <x:dataValidation type="list" allowBlank="0" showDropDown="0" showInputMessage="0" showErrorMessage="0" sqref="G5:G24">
      <x:formula1>"是,否"</x:formula1>
    </x:dataValidation>
    <x:dataValidation type="list" allowBlank="0" showDropDown="0" showInputMessage="0" showErrorMessage="0" sqref="I5:I24">
      <x:formula1>"金币,泥土,石头,原木,木板,树苗,蔬菜,鱼,黄金鱼"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6b3cf7439e48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2" width="9" style="42" customWidth="1"/>
    <x:col min="3" max="3" width="17" style="42" customWidth="1"/>
    <x:col min="4" max="4" width="12" style="42" customWidth="1"/>
    <x:col min="5" max="5" width="13" style="42" customWidth="1"/>
    <x:col min="6" max="6" width="12" style="42" customWidth="1"/>
    <x:col min="7" max="7" width="13" style="42" customWidth="1"/>
    <x:col min="8" max="8" width="20" style="42" customWidth="1"/>
  </x:cols>
  <x:sheetData>
    <x:row r="1" s="42" customFormat="1" ht="30" customHeight="1">
      <x:c r="A1" s="1" t="inlineStr">
        <x:is>
          <x:t xml:space="preserve">等级配置：资源产出</x:t>
        </x:is>
      </x:c>
    </x:row>
    <x:row r="2" s="42" customFormat="1" ht="38" customHeight="1">
      <x:c r="A2" s="2" t="inlineStr">
        <x:is>
          <x:t xml:space="preserve">一行一个 FamilyId + Level + OutputItemId + 工人阈值。同一等级的周期回合必须一致；产量/回合是公式，不参与导入。</x:t>
        </x:is>
      </x:c>
    </x:row>
    <x:row r="3">
      <x:c r="A3" s="3" t="n"/>
      <x:c r="B3" s="3" t="n"/>
      <x:c r="C3" s="3" t="n"/>
      <x:c r="D3" s="3" t="n"/>
      <x:c r="E3" s="3" t="n"/>
      <x:c r="F3" s="3" t="n"/>
      <x:c r="G3" s="3" t="n"/>
      <x:c r="H3" s="3" t="n"/>
    </x:row>
    <x:row r="4" s="42" customFormat="1" ht="30" customHeight="1">
      <x:c r="A4" s="4" t="inlineStr">
        <x:is>
          <x:t xml:space="preserve">FamilyId</x:t>
        </x:is>
      </x:c>
      <x:c r="B4" s="5" t="inlineStr">
        <x:is>
          <x:t xml:space="preserve">Level</x:t>
        </x:is>
      </x:c>
      <x:c r="C4" s="5" t="inlineStr">
        <x:is>
          <x:t xml:space="preserve">OutputItemId</x:t>
        </x:is>
      </x:c>
      <x:c r="D4" s="5" t="inlineStr">
        <x:is>
          <x:t xml:space="preserve">工人阈值</x:t>
        </x:is>
      </x:c>
      <x:c r="E4" s="5" t="inlineStr">
        <x:is>
          <x:t xml:space="preserve">产量/周期</x:t>
        </x:is>
      </x:c>
      <x:c r="F4" s="5" t="inlineStr">
        <x:is>
          <x:t xml:space="preserve">周期回合</x:t>
        </x:is>
      </x:c>
      <x:c r="G4" s="5" t="inlineStr">
        <x:is>
          <x:t xml:space="preserve">产量/回合</x:t>
        </x:is>
      </x:c>
      <x:c r="H4" s="6" t="inlineStr">
        <x:is>
          <x:t xml:space="preserve">校验</x:t>
        </x:is>
      </x:c>
    </x:row>
    <x:row r="5">
      <x:c r="A5" s="7" t="inlineStr">
        <x:is>
          <x:t xml:space="preserve">building.lumber_cabin</x:t>
        </x:is>
      </x:c>
      <x:c r="B5" s="9" t="n">
        <x:v>1</x:v>
      </x:c>
      <x:c r="C5" s="9" t="inlineStr">
        <x:is>
          <x:t xml:space="preserve">原木</x:t>
        </x:is>
      </x:c>
      <x:c r="D5" s="9" t="n">
        <x:v>2</x:v>
      </x:c>
      <x:c r="E5" s="9" t="n">
        <x:v>1</x:v>
      </x:c>
      <x:c r="F5" s="9" t="n">
        <x:v>3</x:v>
      </x:c>
      <x:c r="G5" s="25" t="n">
        <x:f>E5/F5</x:f>
        <x:v>0.3333333333333333</x:v>
      </x:c>
      <x:c r="H5" s="10" t="e">
        <x:f>IF(COUNTIFS(等级_岗位!$A$5:$A$24,A5,等级_岗位!$B$5:$B$24,B5)=0,"错误：缺少岗位","通过")</x:f>
        <x:v>#NAME?</x:v>
      </x:c>
    </x:row>
    <x:row r="6">
      <x:c r="A6" s="11" t="inlineStr">
        <x:is>
          <x:t xml:space="preserve">building.lumber_cabin</x:t>
        </x:is>
      </x:c>
      <x:c r="B6" s="13" t="n">
        <x:v>1</x:v>
      </x:c>
      <x:c r="C6" s="13" t="inlineStr">
        <x:is>
          <x:t xml:space="preserve">原木</x:t>
        </x:is>
      </x:c>
      <x:c r="D6" s="13" t="n">
        <x:v>3</x:v>
      </x:c>
      <x:c r="E6" s="13" t="n">
        <x:v>2</x:v>
      </x:c>
      <x:c r="F6" s="13" t="n">
        <x:v>3</x:v>
      </x:c>
      <x:c r="G6" s="26" t="n">
        <x:f>E6/F6</x:f>
        <x:v>0.6666666666666666</x:v>
      </x:c>
      <x:c r="H6" s="14" t="e">
        <x:f>IF(COUNTIFS(等级_岗位!$A$5:$A$24,A6,等级_岗位!$B$5:$B$24,B6)=0,"错误：缺少岗位","通过")</x:f>
        <x:v>#NAME?</x:v>
      </x:c>
    </x:row>
    <x:row r="7">
      <x:c r="A7" s="11" t="inlineStr">
        <x:is>
          <x:t xml:space="preserve">building.lumber_cabin</x:t>
        </x:is>
      </x:c>
      <x:c r="B7" s="13" t="n">
        <x:v>2</x:v>
      </x:c>
      <x:c r="C7" s="13" t="inlineStr">
        <x:is>
          <x:t xml:space="preserve">原木</x:t>
        </x:is>
      </x:c>
      <x:c r="D7" s="13" t="n">
        <x:v>2</x:v>
      </x:c>
      <x:c r="E7" s="13" t="n">
        <x:v>1</x:v>
      </x:c>
      <x:c r="F7" s="13" t="n">
        <x:v>3</x:v>
      </x:c>
      <x:c r="G7" s="26" t="n">
        <x:f>E7/F7</x:f>
        <x:v>0.3333333333333333</x:v>
      </x:c>
      <x:c r="H7" s="14" t="e">
        <x:f>IF(COUNTIFS(等级_岗位!$A$5:$A$24,A7,等级_岗位!$B$5:$B$24,B7)=0,"错误：缺少岗位","通过")</x:f>
        <x:v>#NAME?</x:v>
      </x:c>
    </x:row>
    <x:row r="8">
      <x:c r="A8" s="11" t="inlineStr">
        <x:is>
          <x:t xml:space="preserve">building.lumber_cabin</x:t>
        </x:is>
      </x:c>
      <x:c r="B8" s="13" t="n">
        <x:v>2</x:v>
      </x:c>
      <x:c r="C8" s="13" t="inlineStr">
        <x:is>
          <x:t xml:space="preserve">原木</x:t>
        </x:is>
      </x:c>
      <x:c r="D8" s="13" t="n">
        <x:v>3</x:v>
      </x:c>
      <x:c r="E8" s="13" t="n">
        <x:v>2</x:v>
      </x:c>
      <x:c r="F8" s="13" t="n">
        <x:v>3</x:v>
      </x:c>
      <x:c r="G8" s="26" t="n">
        <x:f>E8/F8</x:f>
        <x:v>0.6666666666666666</x:v>
      </x:c>
      <x:c r="H8" s="14" t="e">
        <x:f>IF(COUNTIFS(等级_岗位!$A$5:$A$24,A8,等级_岗位!$B$5:$B$24,B8)=0,"错误：缺少岗位","通过")</x:f>
        <x:v>#NAME?</x:v>
      </x:c>
    </x:row>
    <x:row r="9">
      <x:c r="A9" s="11" t="inlineStr">
        <x:is>
          <x:t xml:space="preserve">building.lumber_cabin</x:t>
        </x:is>
      </x:c>
      <x:c r="B9" s="13" t="n">
        <x:v>2</x:v>
      </x:c>
      <x:c r="C9" s="13" t="inlineStr">
        <x:is>
          <x:t xml:space="preserve">原木</x:t>
        </x:is>
      </x:c>
      <x:c r="D9" s="13" t="n">
        <x:v>5</x:v>
      </x:c>
      <x:c r="E9" s="13" t="n">
        <x:v>4</x:v>
      </x:c>
      <x:c r="F9" s="13" t="n">
        <x:v>3</x:v>
      </x:c>
      <x:c r="G9" s="26" t="n">
        <x:f>E9/F9</x:f>
        <x:v>1.3333333333333333</x:v>
      </x:c>
      <x:c r="H9" s="14" t="e">
        <x:f>IF(COUNTIFS(等级_岗位!$A$5:$A$24,A9,等级_岗位!$B$5:$B$24,B9)=0,"错误：缺少岗位","通过")</x:f>
        <x:v>#NAME?</x:v>
      </x:c>
    </x:row>
    <x:row r="10">
      <x:c r="A10" s="11" t="inlineStr">
        <x:is>
          <x:t xml:space="preserve">building.fishing_hut</x:t>
        </x:is>
      </x:c>
      <x:c r="B10" s="13" t="n">
        <x:v>1</x:v>
      </x:c>
      <x:c r="C10" s="13" t="inlineStr">
        <x:is>
          <x:t xml:space="preserve">鱼</x:t>
        </x:is>
      </x:c>
      <x:c r="D10" s="13" t="n">
        <x:v>2</x:v>
      </x:c>
      <x:c r="E10" s="13" t="n">
        <x:v>1</x:v>
      </x:c>
      <x:c r="F10" s="13" t="n">
        <x:v>3</x:v>
      </x:c>
      <x:c r="G10" s="26" t="n">
        <x:f>E10/F10</x:f>
        <x:v>0.3333333333333333</x:v>
      </x:c>
      <x:c r="H10" s="14" t="e">
        <x:f>IF(COUNTIFS(等级_岗位!$A$5:$A$24,A10,等级_岗位!$B$5:$B$24,B10)=0,"错误：缺少岗位","通过")</x:f>
        <x:v>#NAME?</x:v>
      </x:c>
    </x:row>
    <x:row r="11">
      <x:c r="A11" s="11" t="inlineStr">
        <x:is>
          <x:t xml:space="preserve">building.fishing_hut</x:t>
        </x:is>
      </x:c>
      <x:c r="B11" s="13" t="n">
        <x:v>1</x:v>
      </x:c>
      <x:c r="C11" s="13" t="inlineStr">
        <x:is>
          <x:t xml:space="preserve">鱼</x:t>
        </x:is>
      </x:c>
      <x:c r="D11" s="13" t="n">
        <x:v>3</x:v>
      </x:c>
      <x:c r="E11" s="13" t="n">
        <x:v>2</x:v>
      </x:c>
      <x:c r="F11" s="13" t="n">
        <x:v>3</x:v>
      </x:c>
      <x:c r="G11" s="26" t="n">
        <x:f>E11/F11</x:f>
        <x:v>0.6666666666666666</x:v>
      </x:c>
      <x:c r="H11" s="14" t="e">
        <x:f>IF(COUNTIFS(等级_岗位!$A$5:$A$24,A11,等级_岗位!$B$5:$B$24,B11)=0,"错误：缺少岗位","通过")</x:f>
        <x:v>#NAME?</x:v>
      </x:c>
    </x:row>
    <x:row r="12">
      <x:c r="A12" s="11" t="inlineStr">
        <x:is>
          <x:t xml:space="preserve">building.fishing_hut</x:t>
        </x:is>
      </x:c>
      <x:c r="B12" s="13" t="n">
        <x:v>2</x:v>
      </x:c>
      <x:c r="C12" s="13" t="inlineStr">
        <x:is>
          <x:t xml:space="preserve">鱼</x:t>
        </x:is>
      </x:c>
      <x:c r="D12" s="13" t="n">
        <x:v>2</x:v>
      </x:c>
      <x:c r="E12" s="13" t="n">
        <x:v>1</x:v>
      </x:c>
      <x:c r="F12" s="13" t="n">
        <x:v>3</x:v>
      </x:c>
      <x:c r="G12" s="26" t="n">
        <x:f>E12/F12</x:f>
        <x:v>0.3333333333333333</x:v>
      </x:c>
      <x:c r="H12" s="14" t="e">
        <x:f>IF(COUNTIFS(等级_岗位!$A$5:$A$24,A12,等级_岗位!$B$5:$B$24,B12)=0,"错误：缺少岗位","通过")</x:f>
        <x:v>#NAME?</x:v>
      </x:c>
    </x:row>
    <x:row r="13">
      <x:c r="A13" s="11" t="inlineStr">
        <x:is>
          <x:t xml:space="preserve">building.fishing_hut</x:t>
        </x:is>
      </x:c>
      <x:c r="B13" s="13" t="n">
        <x:v>2</x:v>
      </x:c>
      <x:c r="C13" s="13" t="inlineStr">
        <x:is>
          <x:t xml:space="preserve">鱼</x:t>
        </x:is>
      </x:c>
      <x:c r="D13" s="13" t="n">
        <x:v>3</x:v>
      </x:c>
      <x:c r="E13" s="13" t="n">
        <x:v>2</x:v>
      </x:c>
      <x:c r="F13" s="13" t="n">
        <x:v>3</x:v>
      </x:c>
      <x:c r="G13" s="26" t="n">
        <x:f>E13/F13</x:f>
        <x:v>0.6666666666666666</x:v>
      </x:c>
      <x:c r="H13" s="14" t="e">
        <x:f>IF(COUNTIFS(等级_岗位!$A$5:$A$24,A13,等级_岗位!$B$5:$B$24,B13)=0,"错误：缺少岗位","通过")</x:f>
        <x:v>#NAME?</x:v>
      </x:c>
    </x:row>
    <x:row r="14">
      <x:c r="A14" s="3" t="str">
        <x:v>building.quarry</x:v>
      </x:c>
      <x:c r="B14" s="15" t="n">
        <x:v>1</x:v>
      </x:c>
      <x:c r="C14" s="15" t="str">
        <x:v>石头</x:v>
      </x:c>
      <x:c r="D14" s="15" t="n">
        <x:v>2</x:v>
      </x:c>
      <x:c r="E14" s="15" t="n">
        <x:v>1</x:v>
      </x:c>
      <x:c r="F14" s="15" t="n">
        <x:v>1</x:v>
      </x:c>
      <x:c r="G14" s="24" t="n">
        <x:f>E14/F14</x:f>
        <x:v>1</x:v>
      </x:c>
      <x:c r="H14" s="3" t="e">
        <x:f>IF(COUNTIFS(等级_岗位!$A$5:$A$24,A14,等级_岗位!$B$5:$B$24,B14)=0,"错误：缺少岗位","通过")</x:f>
        <x:v>#NAME?</x:v>
      </x:c>
    </x:row>
    <x:row r="15">
      <x:c r="A15" s="3" t="str">
        <x:v>building.quarry</x:v>
      </x:c>
      <x:c r="B15" s="15" t="n">
        <x:v>1</x:v>
      </x:c>
      <x:c r="C15" s="15" t="str">
        <x:v>石头</x:v>
      </x:c>
      <x:c r="D15" s="15" t="n">
        <x:v>4</x:v>
      </x:c>
      <x:c r="E15" s="15" t="n">
        <x:v>2</x:v>
      </x:c>
      <x:c r="F15" s="15" t="n">
        <x:v>1</x:v>
      </x:c>
      <x:c r="G15" s="24" t="n">
        <x:f>E15/F15</x:f>
        <x:v>2</x:v>
      </x:c>
      <x:c r="H15" s="3" t="e">
        <x:f>IF(COUNTIFS(等级_岗位!$A$5:$A$24,A15,等级_岗位!$B$5:$B$24,B15)=0,"错误：缺少岗位","通过")</x:f>
        <x:v>#NAME?</x:v>
      </x:c>
    </x:row>
    <x:row r="16">
      <x:c r="A16" s="3" t="str">
        <x:v>building.quarry</x:v>
      </x:c>
      <x:c r="B16" s="15" t="n">
        <x:v>1</x:v>
      </x:c>
      <x:c r="C16" s="15" t="str">
        <x:v>石头</x:v>
      </x:c>
      <x:c r="D16" s="15" t="n">
        <x:v>6</x:v>
      </x:c>
      <x:c r="E16" s="15" t="n">
        <x:v>4</x:v>
      </x:c>
      <x:c r="F16" s="15" t="n">
        <x:v>1</x:v>
      </x:c>
      <x:c r="G16" s="24" t="n">
        <x:f>E16/F16</x:f>
        <x:v>4</x:v>
      </x:c>
      <x:c r="H16" s="3" t="e">
        <x:f>IF(COUNTIFS(等级_岗位!$A$5:$A$24,A16,等级_岗位!$B$5:$B$24,B16)=0,"错误：缺少岗位","通过")</x:f>
        <x:v>#NAME?</x:v>
      </x:c>
    </x:row>
    <x:row r="17">
      <x:c r="A17" s="3" t="str">
        <x:v>building.quarry</x:v>
      </x:c>
      <x:c r="B17" s="15" t="n">
        <x:v>2</x:v>
      </x:c>
      <x:c r="C17" s="15" t="str">
        <x:v>石头</x:v>
      </x:c>
      <x:c r="D17" s="15" t="n">
        <x:v>1</x:v>
      </x:c>
      <x:c r="E17" s="15" t="n">
        <x:v>1</x:v>
      </x:c>
      <x:c r="F17" s="15" t="n">
        <x:v>1</x:v>
      </x:c>
      <x:c r="G17" s="24" t="n">
        <x:f>E17/F17</x:f>
        <x:v>1</x:v>
      </x:c>
      <x:c r="H17" s="3" t="e">
        <x:f>IF(COUNTIFS(等级_岗位!$A$5:$A$24,A17,等级_岗位!$B$5:$B$24,B17)=0,"错误：缺少岗位","通过")</x:f>
        <x:v>#NAME?</x:v>
      </x:c>
    </x:row>
    <x:row r="18">
      <x:c r="A18" s="3" t="str">
        <x:v>building.quarry</x:v>
      </x:c>
      <x:c r="B18" s="15" t="n">
        <x:v>2</x:v>
      </x:c>
      <x:c r="C18" s="15" t="str">
        <x:v>石头</x:v>
      </x:c>
      <x:c r="D18" s="15" t="n">
        <x:v>2</x:v>
      </x:c>
      <x:c r="E18" s="15" t="n">
        <x:v>2</x:v>
      </x:c>
      <x:c r="F18" s="15" t="n">
        <x:v>1</x:v>
      </x:c>
      <x:c r="G18" s="24" t="n">
        <x:f>E18/F18</x:f>
        <x:v>2</x:v>
      </x:c>
      <x:c r="H18" s="3" t="e">
        <x:f>IF(COUNTIFS(等级_岗位!$A$5:$A$24,A18,等级_岗位!$B$5:$B$24,B18)=0,"错误：缺少岗位","通过")</x:f>
        <x:v>#NAME?</x:v>
      </x:c>
    </x:row>
    <x:row r="19">
      <x:c r="A19" s="3" t="str">
        <x:v>building.quarry</x:v>
      </x:c>
      <x:c r="B19" s="15" t="n">
        <x:v>2</x:v>
      </x:c>
      <x:c r="C19" s="15" t="str">
        <x:v>石头</x:v>
      </x:c>
      <x:c r="D19" s="15" t="n">
        <x:v>3</x:v>
      </x:c>
      <x:c r="E19" s="15" t="n">
        <x:v>3</x:v>
      </x:c>
      <x:c r="F19" s="15" t="n">
        <x:v>1</x:v>
      </x:c>
      <x:c r="G19" s="24" t="n">
        <x:f>E19/F19</x:f>
        <x:v>3</x:v>
      </x:c>
      <x:c r="H19" s="3" t="e">
        <x:f>IF(COUNTIFS(等级_岗位!$A$5:$A$24,A19,等级_岗位!$B$5:$B$24,B19)=0,"错误：缺少岗位","通过")</x:f>
        <x:v>#NAME?</x:v>
      </x:c>
    </x:row>
    <x:row r="20">
      <x:c r="A20" s="3" t="str">
        <x:v>building.quarry</x:v>
      </x:c>
      <x:c r="B20" s="15" t="n">
        <x:v>2</x:v>
      </x:c>
      <x:c r="C20" s="15" t="str">
        <x:v>石头</x:v>
      </x:c>
      <x:c r="D20" s="15" t="n">
        <x:v>4</x:v>
      </x:c>
      <x:c r="E20" s="15" t="n">
        <x:v>4</x:v>
      </x:c>
      <x:c r="F20" s="15" t="n">
        <x:v>1</x:v>
      </x:c>
      <x:c r="G20" s="24" t="n">
        <x:f>E20/F20</x:f>
        <x:v>4</x:v>
      </x:c>
      <x:c r="H20" s="3" t="e">
        <x:f>IF(COUNTIFS(等级_岗位!$A$5:$A$24,A20,等级_岗位!$B$5:$B$24,B20)=0,"错误：缺少岗位","通过")</x:f>
        <x:v>#NAME?</x:v>
      </x:c>
    </x:row>
    <x:row r="21">
      <x:c r="A21" s="3" t="str">
        <x:v>building.quarry</x:v>
      </x:c>
      <x:c r="B21" s="15" t="n">
        <x:v>2</x:v>
      </x:c>
      <x:c r="C21" s="15" t="str">
        <x:v>石头</x:v>
      </x:c>
      <x:c r="D21" s="15" t="n">
        <x:v>5</x:v>
      </x:c>
      <x:c r="E21" s="15" t="n">
        <x:v>5</x:v>
      </x:c>
      <x:c r="F21" s="15" t="n">
        <x:v>1</x:v>
      </x:c>
      <x:c r="G21" s="24" t="n">
        <x:f>E21/F21</x:f>
        <x:v>5</x:v>
      </x:c>
      <x:c r="H21" s="3" t="e">
        <x:f>IF(COUNTIFS(等级_岗位!$A$5:$A$24,A21,等级_岗位!$B$5:$B$24,B21)=0,"错误：缺少岗位","通过")</x:f>
        <x:v>#NAME?</x:v>
      </x:c>
    </x:row>
    <x:row r="22">
      <x:c r="A22" s="3" t="str">
        <x:v>building.quarry</x:v>
      </x:c>
      <x:c r="B22" s="15" t="n">
        <x:v>2</x:v>
      </x:c>
      <x:c r="C22" s="15" t="str">
        <x:v>石头</x:v>
      </x:c>
      <x:c r="D22" s="15" t="n">
        <x:v>6</x:v>
      </x:c>
      <x:c r="E22" s="15" t="n">
        <x:v>9</x:v>
      </x:c>
      <x:c r="F22" s="15" t="n">
        <x:v>1</x:v>
      </x:c>
      <x:c r="G22" s="24" t="n">
        <x:f>E22/F22</x:f>
        <x:v>9</x:v>
      </x:c>
      <x:c r="H22" s="3" t="e">
        <x:f>IF(COUNTIFS(等级_岗位!$A$5:$A$24,A22,等级_岗位!$B$5:$B$24,B22)=0,"错误：缺少岗位","通过")</x:f>
        <x:v>#NAME?</x:v>
      </x:c>
    </x:row>
    <x:row r="23">
      <x:c r="A23" s="3" t="str">
        <x:v>building.quarry</x:v>
      </x:c>
      <x:c r="B23" s="15" t="n">
        <x:v>3</x:v>
      </x:c>
      <x:c r="C23" s="15" t="str">
        <x:v>石头</x:v>
      </x:c>
      <x:c r="D23" s="15" t="n">
        <x:v>1</x:v>
      </x:c>
      <x:c r="E23" s="15" t="n">
        <x:v>2</x:v>
      </x:c>
      <x:c r="F23" s="15" t="n">
        <x:v>1</x:v>
      </x:c>
      <x:c r="G23" s="24" t="n">
        <x:f>E23/F23</x:f>
        <x:v>2</x:v>
      </x:c>
      <x:c r="H23" s="3" t="e">
        <x:f>IF(COUNTIFS(等级_岗位!$A$5:$A$24,A23,等级_岗位!$B$5:$B$24,B23)=0,"错误：缺少岗位","通过")</x:f>
        <x:v>#NAME?</x:v>
      </x:c>
    </x:row>
    <x:row r="24">
      <x:c r="A24" s="3" t="str">
        <x:v>building.quarry</x:v>
      </x:c>
      <x:c r="B24" s="15" t="n">
        <x:v>3</x:v>
      </x:c>
      <x:c r="C24" s="15" t="str">
        <x:v>石头</x:v>
      </x:c>
      <x:c r="D24" s="15" t="n">
        <x:v>2</x:v>
      </x:c>
      <x:c r="E24" s="15" t="n">
        <x:v>4</x:v>
      </x:c>
      <x:c r="F24" s="15" t="n">
        <x:v>1</x:v>
      </x:c>
      <x:c r="G24" s="24" t="n">
        <x:f>E24/F24</x:f>
        <x:v>4</x:v>
      </x:c>
      <x:c r="H24" s="3" t="e">
        <x:f>IF(COUNTIFS(等级_岗位!$A$5:$A$24,A24,等级_岗位!$B$5:$B$24,B24)=0,"错误：缺少岗位","通过")</x:f>
        <x:v>#NAME?</x:v>
      </x:c>
    </x:row>
    <x:row r="25">
      <x:c r="A25" t="str">
        <x:v>building.quarry</x:v>
      </x:c>
      <x:c r="B25" t="n">
        <x:v>3</x:v>
      </x:c>
      <x:c r="C25" t="str">
        <x:v>石头</x:v>
      </x:c>
      <x:c r="D25" t="n">
        <x:v>3</x:v>
      </x:c>
      <x:c r="E25" t="n">
        <x:v>6</x:v>
      </x:c>
      <x:c r="F25" t="n">
        <x:v>1</x:v>
      </x:c>
      <x:c r="G25" t="n">
        <x:f>E25/F25</x:f>
        <x:v>6</x:v>
      </x:c>
      <x:c r="H25" t="e">
        <x:f>IF(COUNTIFS(等级_岗位!$A$5:$A$24,A25,等级_岗位!$B$5:$B$24,B25)=0,"错误：缺少岗位","通过")</x:f>
        <x:v>#NAME?</x:v>
      </x:c>
    </x:row>
    <x:row r="26">
      <x:c r="A26" t="str">
        <x:v>building.quarry</x:v>
      </x:c>
      <x:c r="B26" t="n">
        <x:v>3</x:v>
      </x:c>
      <x:c r="C26" t="str">
        <x:v>石头</x:v>
      </x:c>
      <x:c r="D26" t="n">
        <x:v>4</x:v>
      </x:c>
      <x:c r="E26" t="n">
        <x:v>8</x:v>
      </x:c>
      <x:c r="F26" t="n">
        <x:v>1</x:v>
      </x:c>
      <x:c r="G26" t="n">
        <x:f>E26/F26</x:f>
        <x:v>8</x:v>
      </x:c>
      <x:c r="H26" t="e">
        <x:f>IF(COUNTIFS(等级_岗位!$A$5:$A$24,A26,等级_岗位!$B$5:$B$24,B26)=0,"错误：缺少岗位","通过")</x:f>
        <x:v>#NAME?</x:v>
      </x:c>
    </x:row>
    <x:row r="27">
      <x:c r="A27" t="str">
        <x:v>building.quarry</x:v>
      </x:c>
      <x:c r="B27" t="n">
        <x:v>3</x:v>
      </x:c>
      <x:c r="C27" t="str">
        <x:v>石头</x:v>
      </x:c>
      <x:c r="D27" t="n">
        <x:v>5</x:v>
      </x:c>
      <x:c r="E27" t="n">
        <x:v>10</x:v>
      </x:c>
      <x:c r="F27" t="n">
        <x:v>1</x:v>
      </x:c>
      <x:c r="G27" t="n">
        <x:f>E27/F27</x:f>
        <x:v>10</x:v>
      </x:c>
      <x:c r="H27" t="e">
        <x:f>IF(COUNTIFS(等级_岗位!$A$5:$A$24,A27,等级_岗位!$B$5:$B$24,B27)=0,"错误：缺少岗位","通过")</x:f>
        <x:v>#NAME?</x:v>
      </x:c>
    </x:row>
    <x:row r="28">
      <x:c r="A28" t="str">
        <x:v>building.quarry</x:v>
      </x:c>
      <x:c r="B28" t="n">
        <x:v>3</x:v>
      </x:c>
      <x:c r="C28" t="str">
        <x:v>石头</x:v>
      </x:c>
      <x:c r="D28" t="n">
        <x:v>6</x:v>
      </x:c>
      <x:c r="E28" t="n">
        <x:v>22</x:v>
      </x:c>
      <x:c r="F28" t="n">
        <x:v>1</x:v>
      </x:c>
      <x:c r="G28" t="n">
        <x:f>E28/F28</x:f>
        <x:v>22</x:v>
      </x:c>
      <x:c r="H28" t="e">
        <x:f>IF(COUNTIFS(等级_岗位!$A$5:$A$24,A28,等级_岗位!$B$5:$B$24,B28)=0,"错误：缺少岗位","通过")</x:f>
        <x:v>#NAME?</x:v>
      </x:c>
    </x:row>
  </x:sheetData>
  <x:mergeCells>
    <x:mergeCell ref="A2:H2"/>
    <x:mergeCell ref="A1:H1"/>
  </x:mergeCells>
  <x:conditionalFormatting sqref="H5:H24">
    <x:cfRule type="containsText" dxfId="0" priority="1" operator="between" text="通过">
      <x:formula>NOT(ISERROR(SEARCH("通过",H5)))</x:formula>
    </x:cfRule>
    <x:cfRule type="containsText" dxfId="1" priority="2" operator="between" text="待">
      <x:formula>NOT(ISERROR(SEARCH("待",H5)))</x:formula>
    </x:cfRule>
    <x:cfRule type="containsText" dxfId="2" priority="3" operator="between" text="错误">
      <x:formula>NOT(ISERROR(SEARCH("错误",H5)))</x:formula>
    </x:cfRule>
  </x:conditionalFormatting>
  <x:dataValidations count="2">
    <x:dataValidation type="list" allowBlank="0" showDropDown="0" showInputMessage="0" showErrorMessage="0" sqref="A5:A24">
      <x:formula1>"building.player_home,building.residential_house,building.lumber_cabin,building.fishing_hut,building.farm_field,building.market,building.warehouse,building.road,building.tree"</x:formula1>
    </x:dataValidation>
    <x:dataValidation type="list" allowBlank="0" showDropDown="0" showInputMessage="0" showErrorMessage="0" sqref="C5:C24">
      <x:formula1>"金币,泥土,石头,原木,木板,树苗,蔬菜,鱼,黄金鱼"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4e72c3bad040d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2" width="9" style="42" customWidth="1"/>
    <x:col min="3" max="3" width="10" style="42" customWidth="1"/>
    <x:col min="4" max="4" width="16" style="42" customWidth="1"/>
    <x:col min="5" max="6" width="12" style="42" customWidth="1"/>
    <x:col min="7" max="7" width="10" style="42" customWidth="1"/>
    <x:col min="8" max="8" width="18" style="42" customWidth="1"/>
  </x:cols>
  <x:sheetData>
    <x:row r="1" s="42" customFormat="1" ht="30" customHeight="1">
      <x:c r="A1" s="1" t="inlineStr">
        <x:is>
          <x:t xml:space="preserve">等级配置：捕鱼稀有产出</x:t>
        </x:is>
      </x:c>
    </x:row>
    <x:row r="2" s="42" customFormat="1" ht="38" customHeight="1">
      <x:c r="A2" s="2" t="inlineStr">
        <x:is>
          <x:t xml:space="preserve">对应 FishingHutLevelConfiguration / BM_稀有产出。禁用时仍可保留 ItemId 作为未来占位。</x:t>
        </x:is>
      </x:c>
    </x:row>
    <x:row r="3">
      <x:c r="A3" s="3" t="n"/>
      <x:c r="B3" s="3" t="n"/>
      <x:c r="C3" s="3" t="n"/>
      <x:c r="D3" s="3" t="n"/>
      <x:c r="E3" s="3" t="n"/>
      <x:c r="F3" s="3" t="n"/>
      <x:c r="G3" s="3" t="n"/>
      <x:c r="H3" s="3" t="n"/>
    </x:row>
    <x:row r="4" s="42" customFormat="1" ht="30" customHeight="1">
      <x:c r="A4" s="4" t="inlineStr">
        <x:is>
          <x:t xml:space="preserve">FamilyId</x:t>
        </x:is>
      </x:c>
      <x:c r="B4" s="5" t="inlineStr">
        <x:is>
          <x:t xml:space="preserve">Level</x:t>
        </x:is>
      </x:c>
      <x:c r="C4" s="5" t="inlineStr">
        <x:is>
          <x:t xml:space="preserve">启用</x:t>
        </x:is>
      </x:c>
      <x:c r="D4" s="5" t="inlineStr">
        <x:is>
          <x:t xml:space="preserve">ItemId</x:t>
        </x:is>
      </x:c>
      <x:c r="E4" s="5" t="inlineStr">
        <x:is>
          <x:t xml:space="preserve">最低工人</x:t>
        </x:is>
      </x:c>
      <x:c r="F4" s="5" t="inlineStr">
        <x:is>
          <x:t xml:space="preserve">概率%</x:t>
        </x:is>
      </x:c>
      <x:c r="G4" s="5" t="inlineStr">
        <x:is>
          <x:t xml:space="preserve">数量</x:t>
        </x:is>
      </x:c>
      <x:c r="H4" s="6" t="inlineStr">
        <x:is>
          <x:t xml:space="preserve">校验</x:t>
        </x:is>
      </x:c>
    </x:row>
    <x:row r="5">
      <x:c r="A5" s="7" t="inlineStr">
        <x:is>
          <x:t xml:space="preserve">building.fishing_hut</x:t>
        </x:is>
      </x:c>
      <x:c r="B5" s="9" t="n">
        <x:v>1</x:v>
      </x:c>
      <x:c r="C5" s="7" t="inlineStr">
        <x:is>
          <x:t xml:space="preserve">否</x:t>
        </x:is>
      </x:c>
      <x:c r="D5" s="7" t="inlineStr">
        <x:is>
          <x:t xml:space="preserve">黄金鱼</x:t>
        </x:is>
      </x:c>
      <x:c r="E5" s="9" t="n">
        <x:v>3</x:v>
      </x:c>
      <x:c r="F5" s="22" t="n">
        <x:v>1</x:v>
      </x:c>
      <x:c r="G5" s="9" t="n">
        <x:v>1</x:v>
      </x:c>
      <x:c r="H5" s="10" t="str">
        <x:f>IF(OR(F5&lt;0,F5&gt;100),"错误：概率范围","通过")</x:f>
        <x:v>通过</x:v>
      </x:c>
    </x:row>
    <x:row r="6">
      <x:c r="A6" s="11" t="inlineStr">
        <x:is>
          <x:t xml:space="preserve">building.fishing_hut</x:t>
        </x:is>
      </x:c>
      <x:c r="B6" s="13" t="n">
        <x:v>2</x:v>
      </x:c>
      <x:c r="C6" s="11" t="inlineStr">
        <x:is>
          <x:t xml:space="preserve">否</x:t>
        </x:is>
      </x:c>
      <x:c r="D6" s="11" t="inlineStr">
        <x:is>
          <x:t xml:space="preserve">黄金鱼</x:t>
        </x:is>
      </x:c>
      <x:c r="E6" s="13" t="n">
        <x:v>3</x:v>
      </x:c>
      <x:c r="F6" s="23" t="n">
        <x:v>1</x:v>
      </x:c>
      <x:c r="G6" s="13" t="n">
        <x:v>1</x:v>
      </x:c>
      <x:c r="H6" s="14" t="str">
        <x:f>IF(OR(F6&lt;0,F6&gt;100),"错误：概率范围","通过")</x:f>
        <x:v>通过</x:v>
      </x:c>
    </x:row>
    <x:row r="7">
      <x:c r="A7" s="3" t="n"/>
      <x:c r="B7" s="15" t="n"/>
      <x:c r="C7" s="3" t="n"/>
      <x:c r="D7" s="3" t="n"/>
      <x:c r="E7" s="15" t="n"/>
      <x:c r="F7" s="24" t="n"/>
      <x:c r="G7" s="15" t="n"/>
      <x:c r="H7" s="3" t="n"/>
    </x:row>
    <x:row r="8">
      <x:c r="A8" s="3" t="n"/>
      <x:c r="B8" s="15" t="n"/>
      <x:c r="C8" s="3" t="n"/>
      <x:c r="D8" s="3" t="n"/>
      <x:c r="E8" s="15" t="n"/>
      <x:c r="F8" s="24" t="n"/>
      <x:c r="G8" s="15" t="n"/>
      <x:c r="H8" s="3" t="n"/>
    </x:row>
    <x:row r="9">
      <x:c r="A9" s="3" t="n"/>
      <x:c r="B9" s="15" t="n"/>
      <x:c r="C9" s="3" t="n"/>
      <x:c r="D9" s="3" t="n"/>
      <x:c r="E9" s="15" t="n"/>
      <x:c r="F9" s="24" t="n"/>
      <x:c r="G9" s="15" t="n"/>
      <x:c r="H9" s="3" t="n"/>
    </x:row>
    <x:row r="10">
      <x:c r="A10" s="3" t="n"/>
      <x:c r="B10" s="15" t="n"/>
      <x:c r="C10" s="3" t="n"/>
      <x:c r="D10" s="3" t="n"/>
      <x:c r="E10" s="15" t="n"/>
      <x:c r="F10" s="24" t="n"/>
      <x:c r="G10" s="15" t="n"/>
      <x:c r="H10" s="3" t="n"/>
    </x:row>
    <x:row r="11">
      <x:c r="A11" s="3" t="n"/>
      <x:c r="B11" s="15" t="n"/>
      <x:c r="C11" s="3" t="n"/>
      <x:c r="D11" s="3" t="n"/>
      <x:c r="E11" s="15" t="n"/>
      <x:c r="F11" s="24" t="n"/>
      <x:c r="G11" s="15" t="n"/>
      <x:c r="H11" s="3" t="n"/>
    </x:row>
    <x:row r="12">
      <x:c r="A12" s="3" t="n"/>
      <x:c r="B12" s="15" t="n"/>
      <x:c r="C12" s="3" t="n"/>
      <x:c r="D12" s="3" t="n"/>
      <x:c r="E12" s="15" t="n"/>
      <x:c r="F12" s="24" t="n"/>
      <x:c r="G12" s="15" t="n"/>
      <x:c r="H12" s="3" t="n"/>
    </x:row>
    <x:row r="13">
      <x:c r="A13" s="3" t="n"/>
      <x:c r="B13" s="15" t="n"/>
      <x:c r="C13" s="3" t="n"/>
      <x:c r="D13" s="3" t="n"/>
      <x:c r="E13" s="15" t="n"/>
      <x:c r="F13" s="24" t="n"/>
      <x:c r="G13" s="15" t="n"/>
      <x:c r="H13" s="3" t="n"/>
    </x:row>
    <x:row r="14">
      <x:c r="A14" s="3" t="n"/>
      <x:c r="B14" s="15" t="n"/>
      <x:c r="C14" s="3" t="n"/>
      <x:c r="D14" s="3" t="n"/>
      <x:c r="E14" s="15" t="n"/>
      <x:c r="F14" s="24" t="n"/>
      <x:c r="G14" s="15" t="n"/>
      <x:c r="H14" s="3" t="n"/>
    </x:row>
    <x:row r="15">
      <x:c r="A15" s="3" t="n"/>
      <x:c r="B15" s="15" t="n"/>
      <x:c r="C15" s="3" t="n"/>
      <x:c r="D15" s="3" t="n"/>
      <x:c r="E15" s="15" t="n"/>
      <x:c r="F15" s="24" t="n"/>
      <x:c r="G15" s="15" t="n"/>
      <x:c r="H15" s="3" t="n"/>
    </x:row>
    <x:row r="16">
      <x:c r="A16" s="3" t="n"/>
      <x:c r="B16" s="15" t="n"/>
      <x:c r="C16" s="3" t="n"/>
      <x:c r="D16" s="3" t="n"/>
      <x:c r="E16" s="15" t="n"/>
      <x:c r="F16" s="24" t="n"/>
      <x:c r="G16" s="15" t="n"/>
      <x:c r="H16" s="3" t="n"/>
    </x:row>
    <x:row r="17">
      <x:c r="A17" s="3" t="n"/>
      <x:c r="B17" s="15" t="n"/>
      <x:c r="C17" s="3" t="n"/>
      <x:c r="D17" s="3" t="n"/>
      <x:c r="E17" s="15" t="n"/>
      <x:c r="F17" s="24" t="n"/>
      <x:c r="G17" s="15" t="n"/>
      <x:c r="H17" s="3" t="n"/>
    </x:row>
    <x:row r="18">
      <x:c r="A18" s="3" t="n"/>
      <x:c r="B18" s="15" t="n"/>
      <x:c r="C18" s="3" t="n"/>
      <x:c r="D18" s="3" t="n"/>
      <x:c r="E18" s="15" t="n"/>
      <x:c r="F18" s="24" t="n"/>
      <x:c r="G18" s="15" t="n"/>
      <x:c r="H18" s="3" t="n"/>
    </x:row>
    <x:row r="19">
      <x:c r="A19" s="3" t="n"/>
      <x:c r="B19" s="15" t="n"/>
      <x:c r="C19" s="3" t="n"/>
      <x:c r="D19" s="3" t="n"/>
      <x:c r="E19" s="15" t="n"/>
      <x:c r="F19" s="24" t="n"/>
      <x:c r="G19" s="15" t="n"/>
      <x:c r="H19" s="3" t="n"/>
    </x:row>
    <x:row r="20">
      <x:c r="A20" s="3" t="n"/>
      <x:c r="B20" s="15" t="n"/>
      <x:c r="C20" s="3" t="n"/>
      <x:c r="D20" s="3" t="n"/>
      <x:c r="E20" s="15" t="n"/>
      <x:c r="F20" s="24" t="n"/>
      <x:c r="G20" s="15" t="n"/>
      <x:c r="H20" s="3" t="n"/>
    </x:row>
    <x:row r="21">
      <x:c r="A21" s="3" t="n"/>
      <x:c r="B21" s="15" t="n"/>
      <x:c r="C21" s="3" t="n"/>
      <x:c r="D21" s="3" t="n"/>
      <x:c r="E21" s="15" t="n"/>
      <x:c r="F21" s="24" t="n"/>
      <x:c r="G21" s="15" t="n"/>
      <x:c r="H21" s="3" t="n"/>
    </x:row>
    <x:row r="22">
      <x:c r="A22" s="3" t="n"/>
      <x:c r="B22" s="15" t="n"/>
      <x:c r="C22" s="3" t="n"/>
      <x:c r="D22" s="3" t="n"/>
      <x:c r="E22" s="15" t="n"/>
      <x:c r="F22" s="24" t="n"/>
      <x:c r="G22" s="15" t="n"/>
      <x:c r="H22" s="3" t="n"/>
    </x:row>
    <x:row r="23">
      <x:c r="A23" s="3" t="n"/>
      <x:c r="B23" s="15" t="n"/>
      <x:c r="C23" s="3" t="n"/>
      <x:c r="D23" s="3" t="n"/>
      <x:c r="E23" s="15" t="n"/>
      <x:c r="F23" s="24" t="n"/>
      <x:c r="G23" s="15" t="n"/>
      <x:c r="H23" s="3" t="n"/>
    </x:row>
    <x:row r="24">
      <x:c r="A24" s="3" t="n"/>
      <x:c r="B24" s="15" t="n"/>
      <x:c r="C24" s="3" t="n"/>
      <x:c r="D24" s="3" t="n"/>
      <x:c r="E24" s="15" t="n"/>
      <x:c r="F24" s="24" t="n"/>
      <x:c r="G24" s="15" t="n"/>
      <x:c r="H24" s="3" t="n"/>
    </x:row>
  </x:sheetData>
  <x:mergeCells>
    <x:mergeCell ref="A2:H2"/>
    <x:mergeCell ref="A1:H1"/>
  </x:mergeCells>
  <x:conditionalFormatting sqref="H5:H24">
    <x:cfRule type="containsText" dxfId="0" priority="1" operator="between" text="通过">
      <x:formula>NOT(ISERROR(SEARCH("通过",H5)))</x:formula>
    </x:cfRule>
    <x:cfRule type="containsText" dxfId="1" priority="2" operator="between" text="待">
      <x:formula>NOT(ISERROR(SEARCH("待",H5)))</x:formula>
    </x:cfRule>
    <x:cfRule type="containsText" dxfId="2" priority="3" operator="between" text="错误">
      <x:formula>NOT(ISERROR(SEARCH("错误",H5)))</x:formula>
    </x:cfRule>
  </x:conditionalFormatting>
  <x:dataValidations count="3">
    <x:dataValidation type="list" allowBlank="0" showDropDown="0" showInputMessage="0" showErrorMessage="0" sqref="A5:A24">
      <x:formula1>"building.player_home,building.residential_house,building.lumber_cabin,building.fishing_hut,building.farm_field,building.market,building.warehouse,building.road,building.tree"</x:formula1>
    </x:dataValidation>
    <x:dataValidation type="list" allowBlank="0" showDropDown="0" showInputMessage="0" showErrorMessage="0" sqref="C5:C24">
      <x:formula1>"是,否"</x:formula1>
    </x:dataValidation>
    <x:dataValidation type="list" allowBlank="0" showDropDown="0" showInputMessage="0" showErrorMessage="0" sqref="D5:D24">
      <x:formula1>"金币,泥土,石头,原木,木板,树苗,蔬菜,鱼,黄金鱼"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27a156515b476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2" width="9" style="42" customWidth="1"/>
    <x:col min="3" max="3" width="15" style="42" customWidth="1"/>
    <x:col min="4" max="4" width="13" style="42" customWidth="1"/>
    <x:col min="5" max="5" width="20" style="42" customWidth="1"/>
    <x:col min="6" max="6" width="13" style="42" customWidth="1"/>
    <x:col min="7" max="7" width="15" style="42" customWidth="1"/>
    <x:col min="8" max="8" width="12" style="42" customWidth="1"/>
    <x:col min="9" max="10" width="15" style="42" customWidth="1"/>
    <x:col min="11" max="11" width="13" style="42" customWidth="1"/>
    <x:col min="12" max="13" width="22" style="42" customWidth="1"/>
  </x:cols>
  <x:sheetData>
    <x:row r="1" s="42" customFormat="1" ht="30" customHeight="1">
      <x:c r="A1" s="1" t="inlineStr">
        <x:is>
          <x:t xml:space="preserve">等级配置：仓库运营</x:t>
        </x:is>
      </x:c>
    </x:row>
    <x:row r="2" s="42" customFormat="1" ht="38" customHeight="1">
      <x:c r="A2" s="2" t="inlineStr">
        <x:is>
          <x:t xml:space="preserve">对应 WarehouseLevelConfiguration / BM_仓库运营。基础库存格只在达到容量所需工人时生效；维护失败会阻止经验并降低本建筑岗位吸引力。</x:t>
        </x:is>
      </x:c>
    </x:row>
    <x:row r="3">
      <x:c r="A3" s="3" t="n"/>
      <x:c r="B3" s="3" t="n"/>
      <x:c r="C3" s="3" t="n"/>
      <x:c r="D3" s="3" t="n"/>
      <x:c r="E3" s="3" t="n"/>
      <x:c r="F3" s="3" t="n"/>
      <x:c r="G3" s="3" t="n"/>
      <x:c r="H3" s="3" t="n"/>
      <x:c r="I3" s="3" t="n"/>
      <x:c r="J3" s="3" t="n"/>
      <x:c r="K3" s="3" t="n"/>
      <x:c r="L3" s="3" t="n"/>
      <x:c r="M3" s="3" t="n"/>
    </x:row>
    <x:row r="4" s="42" customFormat="1" ht="30" customHeight="1">
      <x:c r="A4" s="4" t="inlineStr">
        <x:is>
          <x:t xml:space="preserve">FamilyId</x:t>
        </x:is>
      </x:c>
      <x:c r="B4" s="5" t="inlineStr">
        <x:is>
          <x:t xml:space="preserve">Level</x:t>
        </x:is>
      </x:c>
      <x:c r="C4" s="5" t="inlineStr">
        <x:is>
          <x:t xml:space="preserve">容量所需工人</x:t>
        </x:is>
      </x:c>
      <x:c r="D4" s="5" t="inlineStr">
        <x:is>
          <x:t xml:space="preserve">基础库存格</x:t>
        </x:is>
      </x:c>
      <x:c r="E4" s="5" t="inlineStr">
        <x:is>
          <x:t xml:space="preserve">MaintenanceItemId</x:t>
        </x:is>
      </x:c>
      <x:c r="F4" s="5" t="inlineStr">
        <x:is>
          <x:t xml:space="preserve">维护费/回合</x:t>
        </x:is>
      </x:c>
      <x:c r="G4" s="5" t="inlineStr">
        <x:is>
          <x:t xml:space="preserve">经验所需工人</x:t>
        </x:is>
      </x:c>
      <x:c r="H4" s="5" t="inlineStr">
        <x:is>
          <x:t xml:space="preserve">经验/回合</x:t>
        </x:is>
      </x:c>
      <x:c r="I4" s="5" t="inlineStr">
        <x:is>
          <x:t xml:space="preserve">下级经验要求</x:t>
        </x:is>
      </x:c>
      <x:c r="J4" s="5" t="inlineStr">
        <x:is>
          <x:t xml:space="preserve">奖励工人阈值</x:t>
        </x:is>
      </x:c>
      <x:c r="K4" s="5" t="inlineStr">
        <x:is>
          <x:t xml:space="preserve">奖励库存格</x:t>
        </x:is>
      </x:c>
      <x:c r="L4" s="5" t="inlineStr">
        <x:is>
          <x:t xml:space="preserve">维护失败吸引力惩罚</x:t>
        </x:is>
      </x:c>
      <x:c r="M4" s="6" t="inlineStr">
        <x:is>
          <x:t xml:space="preserve">校验</x:t>
        </x:is>
      </x:c>
    </x:row>
    <x:row r="5">
      <x:c r="A5" s="7" t="inlineStr">
        <x:is>
          <x:t xml:space="preserve">building.warehouse</x:t>
        </x:is>
      </x:c>
      <x:c r="B5" s="9" t="n">
        <x:v>1</x:v>
      </x:c>
      <x:c r="C5" s="9" t="n">
        <x:v>2</x:v>
      </x:c>
      <x:c r="D5" s="9" t="n">
        <x:v>1</x:v>
      </x:c>
      <x:c r="E5" s="9" t="inlineStr">
        <x:is>
          <x:t xml:space="preserve">金币</x:t>
        </x:is>
      </x:c>
      <x:c r="F5" s="9" t="n">
        <x:v>1</x:v>
      </x:c>
      <x:c r="G5" s="9" t="n">
        <x:v>2</x:v>
      </x:c>
      <x:c r="H5" s="9" t="n">
        <x:v>1</x:v>
      </x:c>
      <x:c r="I5" s="9" t="n">
        <x:v>30</x:v>
      </x:c>
      <x:c r="J5" s="9" t="n">
        <x:v>0</x:v>
      </x:c>
      <x:c r="K5" s="9" t="n">
        <x:v>0</x:v>
      </x:c>
      <x:c r="L5" s="9" t="n">
        <x:v>10</x:v>
      </x:c>
      <x:c r="M5" s="10" t="e">
        <x:f>IF(COUNTIFS(等级_岗位!$A$5:$A$24,A5,等级_岗位!$B$5:$B$24,B5)=0,"错误：缺少岗位",IF(MAX(C5,G5,J5)&gt;SUMIFS(等级_岗位!$C$5:$C$24,等级_岗位!$A$5:$A$24,A5,等级_岗位!$B$5:$B$24,B5),"错误：阈值超上限","通过"))</x:f>
        <x:v>#NAME?</x:v>
      </x:c>
    </x:row>
    <x:row r="6">
      <x:c r="A6" s="11" t="inlineStr">
        <x:is>
          <x:t xml:space="preserve">building.warehouse</x:t>
        </x:is>
      </x:c>
      <x:c r="B6" s="13" t="n">
        <x:v>2</x:v>
      </x:c>
      <x:c r="C6" s="13" t="n">
        <x:v>3</x:v>
      </x:c>
      <x:c r="D6" s="13" t="n">
        <x:v>2</x:v>
      </x:c>
      <x:c r="E6" s="13" t="inlineStr">
        <x:is>
          <x:t xml:space="preserve">金币</x:t>
        </x:is>
      </x:c>
      <x:c r="F6" s="13" t="n">
        <x:v>2</x:v>
      </x:c>
      <x:c r="G6" s="13" t="n">
        <x:v>2</x:v>
      </x:c>
      <x:c r="H6" s="13" t="n">
        <x:v>1</x:v>
      </x:c>
      <x:c r="I6" s="13" t="n">
        <x:v>50</x:v>
      </x:c>
      <x:c r="J6" s="13" t="n">
        <x:v>0</x:v>
      </x:c>
      <x:c r="K6" s="13" t="n">
        <x:v>0</x:v>
      </x:c>
      <x:c r="L6" s="13" t="n">
        <x:v>10</x:v>
      </x:c>
      <x:c r="M6" s="14" t="e">
        <x:f>IF(COUNTIFS(等级_岗位!$A$5:$A$24,A6,等级_岗位!$B$5:$B$24,B6)=0,"错误：缺少岗位",IF(MAX(C6,G6,J6)&gt;SUMIFS(等级_岗位!$C$5:$C$24,等级_岗位!$A$5:$A$24,A6,等级_岗位!$B$5:$B$24,B6),"错误：阈值超上限","通过"))</x:f>
        <x:v>#NAME?</x:v>
      </x:c>
    </x:row>
    <x:row r="7">
      <x:c r="A7" s="11" t="inlineStr">
        <x:is>
          <x:t xml:space="preserve">building.warehouse</x:t>
        </x:is>
      </x:c>
      <x:c r="B7" s="13" t="n">
        <x:v>3</x:v>
      </x:c>
      <x:c r="C7" s="13" t="n">
        <x:v>4</x:v>
      </x:c>
      <x:c r="D7" s="13" t="n">
        <x:v>3</x:v>
      </x:c>
      <x:c r="E7" s="13" t="inlineStr">
        <x:is>
          <x:t xml:space="preserve">金币</x:t>
        </x:is>
      </x:c>
      <x:c r="F7" s="13" t="n">
        <x:v>3</x:v>
      </x:c>
      <x:c r="G7" s="13" t="n">
        <x:v>0</x:v>
      </x:c>
      <x:c r="H7" s="13" t="n">
        <x:v>0</x:v>
      </x:c>
      <x:c r="I7" s="13" t="n">
        <x:v>0</x:v>
      </x:c>
      <x:c r="J7" s="13" t="n">
        <x:v>5</x:v>
      </x:c>
      <x:c r="K7" s="13" t="n">
        <x:v>1</x:v>
      </x:c>
      <x:c r="L7" s="13" t="n">
        <x:v>10</x:v>
      </x:c>
      <x:c r="M7" s="14" t="e">
        <x:f>IF(COUNTIFS(等级_岗位!$A$5:$A$24,A7,等级_岗位!$B$5:$B$24,B7)=0,"错误：缺少岗位",IF(MAX(C7,G7,J7)&gt;SUMIFS(等级_岗位!$C$5:$C$24,等级_岗位!$A$5:$A$24,A7,等级_岗位!$B$5:$B$24,B7),"错误：阈值超上限","通过"))</x:f>
        <x:v>#NAME?</x:v>
      </x:c>
    </x:row>
    <x:row r="8">
      <x:c r="A8" s="3" t="n"/>
      <x:c r="B8" s="15" t="n"/>
      <x:c r="C8" s="15" t="n"/>
      <x:c r="D8" s="15" t="n"/>
      <x:c r="E8" s="15" t="n"/>
      <x:c r="F8" s="15" t="n"/>
      <x:c r="G8" s="15" t="n"/>
      <x:c r="H8" s="15" t="n"/>
      <x:c r="I8" s="15" t="n"/>
      <x:c r="J8" s="15" t="n"/>
      <x:c r="K8" s="15" t="n"/>
      <x:c r="L8" s="15" t="n"/>
      <x:c r="M8" s="3" t="n"/>
    </x:row>
    <x:row r="9">
      <x:c r="A9" s="3" t="n"/>
      <x:c r="B9" s="15" t="n"/>
      <x:c r="C9" s="15" t="n"/>
      <x:c r="D9" s="15" t="n"/>
      <x:c r="E9" s="15" t="n"/>
      <x:c r="F9" s="15" t="n"/>
      <x:c r="G9" s="15" t="n"/>
      <x:c r="H9" s="15" t="n"/>
      <x:c r="I9" s="15" t="n"/>
      <x:c r="J9" s="15" t="n"/>
      <x:c r="K9" s="15" t="n"/>
      <x:c r="L9" s="15" t="n"/>
      <x:c r="M9" s="3" t="n"/>
    </x:row>
    <x:row r="10">
      <x:c r="A10" s="3" t="n"/>
      <x:c r="B10" s="15" t="n"/>
      <x:c r="C10" s="15" t="n"/>
      <x:c r="D10" s="15" t="n"/>
      <x:c r="E10" s="15" t="n"/>
      <x:c r="F10" s="15" t="n"/>
      <x:c r="G10" s="15" t="n"/>
      <x:c r="H10" s="15" t="n"/>
      <x:c r="I10" s="15" t="n"/>
      <x:c r="J10" s="15" t="n"/>
      <x:c r="K10" s="15" t="n"/>
      <x:c r="L10" s="15" t="n"/>
      <x:c r="M10" s="3" t="n"/>
    </x:row>
    <x:row r="11">
      <x:c r="A11" s="3" t="n"/>
      <x:c r="B11" s="15" t="n"/>
      <x:c r="C11" s="15" t="n"/>
      <x:c r="D11" s="15" t="n"/>
      <x:c r="E11" s="15" t="n"/>
      <x:c r="F11" s="15" t="n"/>
      <x:c r="G11" s="15" t="n"/>
      <x:c r="H11" s="15" t="n"/>
      <x:c r="I11" s="15" t="n"/>
      <x:c r="J11" s="15" t="n"/>
      <x:c r="K11" s="15" t="n"/>
      <x:c r="L11" s="15" t="n"/>
      <x:c r="M11" s="3" t="n"/>
    </x:row>
    <x:row r="12">
      <x:c r="A12" s="3" t="n"/>
      <x:c r="B12" s="15" t="n"/>
      <x:c r="C12" s="15" t="n"/>
      <x:c r="D12" s="15" t="n"/>
      <x:c r="E12" s="15" t="n"/>
      <x:c r="F12" s="15" t="n"/>
      <x:c r="G12" s="15" t="n"/>
      <x:c r="H12" s="15" t="n"/>
      <x:c r="I12" s="15" t="n"/>
      <x:c r="J12" s="15" t="n"/>
      <x:c r="K12" s="15" t="n"/>
      <x:c r="L12" s="15" t="n"/>
      <x:c r="M12" s="3" t="n"/>
    </x:row>
    <x:row r="13">
      <x:c r="A13" s="3" t="n"/>
      <x:c r="B13" s="15" t="n"/>
      <x:c r="C13" s="15" t="n"/>
      <x:c r="D13" s="15" t="n"/>
      <x:c r="E13" s="15" t="n"/>
      <x:c r="F13" s="15" t="n"/>
      <x:c r="G13" s="15" t="n"/>
      <x:c r="H13" s="15" t="n"/>
      <x:c r="I13" s="15" t="n"/>
      <x:c r="J13" s="15" t="n"/>
      <x:c r="K13" s="15" t="n"/>
      <x:c r="L13" s="15" t="n"/>
      <x:c r="M13" s="3" t="n"/>
    </x:row>
    <x:row r="14">
      <x:c r="A14" s="3" t="n"/>
      <x:c r="B14" s="15" t="n"/>
      <x:c r="C14" s="15" t="n"/>
      <x:c r="D14" s="15" t="n"/>
      <x:c r="E14" s="15" t="n"/>
      <x:c r="F14" s="15" t="n"/>
      <x:c r="G14" s="15" t="n"/>
      <x:c r="H14" s="15" t="n"/>
      <x:c r="I14" s="15" t="n"/>
      <x:c r="J14" s="15" t="n"/>
      <x:c r="K14" s="15" t="n"/>
      <x:c r="L14" s="15" t="n"/>
      <x:c r="M14" s="3" t="n"/>
    </x:row>
    <x:row r="15">
      <x:c r="A15" s="3" t="n"/>
      <x:c r="B15" s="15" t="n"/>
      <x:c r="C15" s="15" t="n"/>
      <x:c r="D15" s="15" t="n"/>
      <x:c r="E15" s="15" t="n"/>
      <x:c r="F15" s="15" t="n"/>
      <x:c r="G15" s="15" t="n"/>
      <x:c r="H15" s="15" t="n"/>
      <x:c r="I15" s="15" t="n"/>
      <x:c r="J15" s="15" t="n"/>
      <x:c r="K15" s="15" t="n"/>
      <x:c r="L15" s="15" t="n"/>
      <x:c r="M15" s="3" t="n"/>
    </x:row>
    <x:row r="16">
      <x:c r="A16" s="3" t="n"/>
      <x:c r="B16" s="15" t="n"/>
      <x:c r="C16" s="15" t="n"/>
      <x:c r="D16" s="15" t="n"/>
      <x:c r="E16" s="15" t="n"/>
      <x:c r="F16" s="15" t="n"/>
      <x:c r="G16" s="15" t="n"/>
      <x:c r="H16" s="15" t="n"/>
      <x:c r="I16" s="15" t="n"/>
      <x:c r="J16" s="15" t="n"/>
      <x:c r="K16" s="15" t="n"/>
      <x:c r="L16" s="15" t="n"/>
      <x:c r="M16" s="3" t="n"/>
    </x:row>
    <x:row r="17">
      <x:c r="A17" s="3" t="n"/>
      <x:c r="B17" s="15" t="n"/>
      <x:c r="C17" s="15" t="n"/>
      <x:c r="D17" s="15" t="n"/>
      <x:c r="E17" s="15" t="n"/>
      <x:c r="F17" s="15" t="n"/>
      <x:c r="G17" s="15" t="n"/>
      <x:c r="H17" s="15" t="n"/>
      <x:c r="I17" s="15" t="n"/>
      <x:c r="J17" s="15" t="n"/>
      <x:c r="K17" s="15" t="n"/>
      <x:c r="L17" s="15" t="n"/>
      <x:c r="M17" s="3" t="n"/>
    </x:row>
    <x:row r="18">
      <x:c r="A18" s="3" t="n"/>
      <x:c r="B18" s="15" t="n"/>
      <x:c r="C18" s="15" t="n"/>
      <x:c r="D18" s="15" t="n"/>
      <x:c r="E18" s="15" t="n"/>
      <x:c r="F18" s="15" t="n"/>
      <x:c r="G18" s="15" t="n"/>
      <x:c r="H18" s="15" t="n"/>
      <x:c r="I18" s="15" t="n"/>
      <x:c r="J18" s="15" t="n"/>
      <x:c r="K18" s="15" t="n"/>
      <x:c r="L18" s="15" t="n"/>
      <x:c r="M18" s="3" t="n"/>
    </x:row>
    <x:row r="19">
      <x:c r="A19" s="3" t="n"/>
      <x:c r="B19" s="15" t="n"/>
      <x:c r="C19" s="15" t="n"/>
      <x:c r="D19" s="15" t="n"/>
      <x:c r="E19" s="15" t="n"/>
      <x:c r="F19" s="15" t="n"/>
      <x:c r="G19" s="15" t="n"/>
      <x:c r="H19" s="15" t="n"/>
      <x:c r="I19" s="15" t="n"/>
      <x:c r="J19" s="15" t="n"/>
      <x:c r="K19" s="15" t="n"/>
      <x:c r="L19" s="15" t="n"/>
      <x:c r="M19" s="3" t="n"/>
    </x:row>
    <x:row r="20">
      <x:c r="A20" s="3" t="n"/>
      <x:c r="B20" s="15" t="n"/>
      <x:c r="C20" s="15" t="n"/>
      <x:c r="D20" s="15" t="n"/>
      <x:c r="E20" s="15" t="n"/>
      <x:c r="F20" s="15" t="n"/>
      <x:c r="G20" s="15" t="n"/>
      <x:c r="H20" s="15" t="n"/>
      <x:c r="I20" s="15" t="n"/>
      <x:c r="J20" s="15" t="n"/>
      <x:c r="K20" s="15" t="n"/>
      <x:c r="L20" s="15" t="n"/>
      <x:c r="M20" s="3" t="n"/>
    </x:row>
    <x:row r="21">
      <x:c r="A21" s="3" t="n"/>
      <x:c r="B21" s="15" t="n"/>
      <x:c r="C21" s="15" t="n"/>
      <x:c r="D21" s="15" t="n"/>
      <x:c r="E21" s="15" t="n"/>
      <x:c r="F21" s="15" t="n"/>
      <x:c r="G21" s="15" t="n"/>
      <x:c r="H21" s="15" t="n"/>
      <x:c r="I21" s="15" t="n"/>
      <x:c r="J21" s="15" t="n"/>
      <x:c r="K21" s="15" t="n"/>
      <x:c r="L21" s="15" t="n"/>
      <x:c r="M21" s="3" t="n"/>
    </x:row>
    <x:row r="22">
      <x:c r="A22" s="3" t="n"/>
      <x:c r="B22" s="15" t="n"/>
      <x:c r="C22" s="15" t="n"/>
      <x:c r="D22" s="15" t="n"/>
      <x:c r="E22" s="15" t="n"/>
      <x:c r="F22" s="15" t="n"/>
      <x:c r="G22" s="15" t="n"/>
      <x:c r="H22" s="15" t="n"/>
      <x:c r="I22" s="15" t="n"/>
      <x:c r="J22" s="15" t="n"/>
      <x:c r="K22" s="15" t="n"/>
      <x:c r="L22" s="15" t="n"/>
      <x:c r="M22" s="3" t="n"/>
    </x:row>
    <x:row r="23">
      <x:c r="A23" s="3" t="n"/>
      <x:c r="B23" s="15" t="n"/>
      <x:c r="C23" s="15" t="n"/>
      <x:c r="D23" s="15" t="n"/>
      <x:c r="E23" s="15" t="n"/>
      <x:c r="F23" s="15" t="n"/>
      <x:c r="G23" s="15" t="n"/>
      <x:c r="H23" s="15" t="n"/>
      <x:c r="I23" s="15" t="n"/>
      <x:c r="J23" s="15" t="n"/>
      <x:c r="K23" s="15" t="n"/>
      <x:c r="L23" s="15" t="n"/>
      <x:c r="M23" s="3" t="n"/>
    </x:row>
    <x:row r="24">
      <x:c r="A24" s="3" t="n"/>
      <x:c r="B24" s="15" t="n"/>
      <x:c r="C24" s="15" t="n"/>
      <x:c r="D24" s="15" t="n"/>
      <x:c r="E24" s="15" t="n"/>
      <x:c r="F24" s="15" t="n"/>
      <x:c r="G24" s="15" t="n"/>
      <x:c r="H24" s="15" t="n"/>
      <x:c r="I24" s="15" t="n"/>
      <x:c r="J24" s="15" t="n"/>
      <x:c r="K24" s="15" t="n"/>
      <x:c r="L24" s="15" t="n"/>
      <x:c r="M24" s="3" t="n"/>
    </x:row>
  </x:sheetData>
  <x:mergeCells>
    <x:mergeCell ref="A2:M2"/>
    <x:mergeCell ref="A1:M1"/>
  </x:mergeCells>
  <x:conditionalFormatting sqref="M5:M24">
    <x:cfRule type="containsText" dxfId="0" priority="1" operator="between" text="通过">
      <x:formula>NOT(ISERROR(SEARCH("通过",M5)))</x:formula>
    </x:cfRule>
    <x:cfRule type="containsText" dxfId="1" priority="2" operator="between" text="待">
      <x:formula>NOT(ISERROR(SEARCH("待",M5)))</x:formula>
    </x:cfRule>
    <x:cfRule type="containsText" dxfId="2" priority="3" operator="between" text="错误">
      <x:formula>NOT(ISERROR(SEARCH("错误",M5)))</x:formula>
    </x:cfRule>
  </x:conditionalFormatting>
  <x:dataValidations count="2">
    <x:dataValidation type="list" allowBlank="0" showDropDown="0" showInputMessage="0" showErrorMessage="0" sqref="A5:A24">
      <x:formula1>"building.player_home,building.residential_house,building.lumber_cabin,building.fishing_hut,building.farm_field,building.market,building.warehouse,building.road,building.tree"</x:formula1>
    </x:dataValidation>
    <x:dataValidation type="list" allowBlank="0" showDropDown="0" showInputMessage="0" showErrorMessage="0" sqref="E5:E24">
      <x:formula1>"金币,泥土,石头,原木,木板,树苗,蔬菜,鱼,黄金鱼"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c67fd740844280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3" width="16" style="42" customWidth="1"/>
    <x:col min="4" max="4" width="14" style="42" customWidth="1"/>
    <x:col min="5" max="5" width="18" style="42" customWidth="1"/>
  </x:cols>
  <x:sheetData>
    <x:row r="1" s="42" customFormat="1" ht="30" customHeight="1">
      <x:c r="A1" s="1" t="inlineStr">
        <x:is>
          <x:t xml:space="preserve">模块默认值：市场资源结算</x:t>
        </x:is>
      </x:c>
    </x:row>
    <x:row r="2" s="42" customFormat="1" ht="38" customHeight="1">
      <x:c r="A2" s="2" t="inlineStr">
        <x:is>
          <x:t xml:space="preserve">模块级配置，不随运营等级变化。价值结算比例以小数填写：0.1 表示 10%。</x:t>
        </x:is>
      </x:c>
    </x:row>
    <x:row r="3">
      <x:c r="A3" s="3" t="n"/>
      <x:c r="B3" s="3" t="n"/>
      <x:c r="C3" s="3" t="n"/>
      <x:c r="D3" s="3" t="n"/>
      <x:c r="E3" s="3" t="n"/>
    </x:row>
    <x:row r="4" s="42" customFormat="1" ht="30" customHeight="1">
      <x:c r="A4" s="4" t="inlineStr">
        <x:is>
          <x:t xml:space="preserve">FamilyId</x:t>
        </x:is>
      </x:c>
      <x:c r="B4" s="5" t="inlineStr">
        <x:is>
          <x:t xml:space="preserve">GoldItemId</x:t>
        </x:is>
      </x:c>
      <x:c r="C4" s="5" t="inlineStr">
        <x:is>
          <x:t xml:space="preserve">价值结算比例</x:t>
        </x:is>
      </x:c>
      <x:c r="D4" s="5" t="inlineStr">
        <x:is>
          <x:t xml:space="preserve">显示比例</x:t>
        </x:is>
      </x:c>
      <x:c r="E4" s="6" t="inlineStr">
        <x:is>
          <x:t xml:space="preserve">校验</x:t>
        </x:is>
      </x:c>
    </x:row>
    <x:row r="5">
      <x:c r="A5" s="7" t="inlineStr">
        <x:is>
          <x:t xml:space="preserve">building.market</x:t>
        </x:is>
      </x:c>
      <x:c r="B5" s="7" t="inlineStr">
        <x:is>
          <x:t xml:space="preserve">金币</x:t>
        </x:is>
      </x:c>
      <x:c r="C5" s="49" t="n">
        <x:v>0.1</x:v>
      </x:c>
      <x:c r="D5" s="50" t="n">
        <x:f>C5</x:f>
        <x:v>0.1</x:v>
      </x:c>
      <x:c r="E5" s="10" t="str">
        <x:f>IF(C5&lt;0,"错误：比例","通过")</x:f>
        <x:v>通过</x:v>
      </x:c>
    </x:row>
    <x:row r="6">
      <x:c r="A6" s="3" t="n"/>
      <x:c r="B6" s="3" t="n"/>
      <x:c r="C6" s="51" t="n"/>
      <x:c r="D6" s="3" t="n"/>
      <x:c r="E6" s="3" t="n"/>
    </x:row>
    <x:row r="7">
      <x:c r="A7" s="3" t="n"/>
      <x:c r="B7" s="3" t="n"/>
      <x:c r="C7" s="51" t="n"/>
      <x:c r="D7" s="3" t="n"/>
      <x:c r="E7" s="3" t="n"/>
    </x:row>
    <x:row r="8">
      <x:c r="A8" s="3" t="n"/>
      <x:c r="B8" s="3" t="n"/>
      <x:c r="C8" s="51" t="n"/>
      <x:c r="D8" s="3" t="n"/>
      <x:c r="E8" s="3" t="n"/>
    </x:row>
    <x:row r="9">
      <x:c r="A9" s="3" t="n"/>
      <x:c r="B9" s="3" t="n"/>
      <x:c r="C9" s="51" t="n"/>
      <x:c r="D9" s="3" t="n"/>
      <x:c r="E9" s="3" t="n"/>
    </x:row>
    <x:row r="10">
      <x:c r="A10" s="3" t="n"/>
      <x:c r="B10" s="3" t="n"/>
      <x:c r="C10" s="51" t="n"/>
      <x:c r="D10" s="3" t="n"/>
      <x:c r="E10" s="3" t="n"/>
    </x:row>
    <x:row r="11">
      <x:c r="A11" s="3" t="n"/>
      <x:c r="B11" s="3" t="n"/>
      <x:c r="C11" s="51" t="n"/>
      <x:c r="D11" s="3" t="n"/>
      <x:c r="E11" s="3" t="n"/>
    </x:row>
    <x:row r="12">
      <x:c r="A12" s="3" t="n"/>
      <x:c r="B12" s="3" t="n"/>
      <x:c r="C12" s="51" t="n"/>
      <x:c r="D12" s="3" t="n"/>
      <x:c r="E12" s="3" t="n"/>
    </x:row>
    <x:row r="13">
      <x:c r="A13" s="3" t="n"/>
      <x:c r="B13" s="3" t="n"/>
      <x:c r="C13" s="51" t="n"/>
      <x:c r="D13" s="3" t="n"/>
      <x:c r="E13" s="3" t="n"/>
    </x:row>
    <x:row r="14">
      <x:c r="A14" s="3" t="n"/>
      <x:c r="B14" s="3" t="n"/>
      <x:c r="C14" s="51" t="n"/>
      <x:c r="D14" s="3" t="n"/>
      <x:c r="E14" s="3" t="n"/>
    </x:row>
    <x:row r="15">
      <x:c r="A15" s="3" t="n"/>
      <x:c r="B15" s="3" t="n"/>
      <x:c r="C15" s="51" t="n"/>
      <x:c r="D15" s="3" t="n"/>
      <x:c r="E15" s="3" t="n"/>
    </x:row>
    <x:row r="16">
      <x:c r="A16" s="3" t="n"/>
      <x:c r="B16" s="3" t="n"/>
      <x:c r="C16" s="51" t="n"/>
      <x:c r="D16" s="3" t="n"/>
      <x:c r="E16" s="3" t="n"/>
    </x:row>
    <x:row r="17">
      <x:c r="A17" s="3" t="n"/>
      <x:c r="B17" s="3" t="n"/>
      <x:c r="C17" s="51" t="n"/>
      <x:c r="D17" s="3" t="n"/>
      <x:c r="E17" s="3" t="n"/>
    </x:row>
    <x:row r="18">
      <x:c r="A18" s="3" t="n"/>
      <x:c r="B18" s="3" t="n"/>
      <x:c r="C18" s="51" t="n"/>
      <x:c r="D18" s="3" t="n"/>
      <x:c r="E18" s="3" t="n"/>
    </x:row>
    <x:row r="19">
      <x:c r="A19" s="3" t="n"/>
      <x:c r="B19" s="3" t="n"/>
      <x:c r="C19" s="51" t="n"/>
      <x:c r="D19" s="3" t="n"/>
      <x:c r="E19" s="3" t="n"/>
    </x:row>
    <x:row r="20">
      <x:c r="A20" s="3" t="n"/>
      <x:c r="B20" s="3" t="n"/>
      <x:c r="C20" s="51" t="n"/>
      <x:c r="D20" s="3" t="n"/>
      <x:c r="E20" s="3" t="n"/>
    </x:row>
    <x:row r="21">
      <x:c r="A21" s="3" t="n"/>
      <x:c r="B21" s="3" t="n"/>
      <x:c r="C21" s="51" t="n"/>
      <x:c r="D21" s="3" t="n"/>
      <x:c r="E21" s="3" t="n"/>
    </x:row>
    <x:row r="22">
      <x:c r="A22" s="3" t="n"/>
      <x:c r="B22" s="3" t="n"/>
      <x:c r="C22" s="51" t="n"/>
      <x:c r="D22" s="3" t="n"/>
      <x:c r="E22" s="3" t="n"/>
    </x:row>
    <x:row r="23">
      <x:c r="A23" s="3" t="n"/>
      <x:c r="B23" s="3" t="n"/>
      <x:c r="C23" s="51" t="n"/>
      <x:c r="D23" s="3" t="n"/>
      <x:c r="E23" s="3" t="n"/>
    </x:row>
    <x:row r="24">
      <x:c r="A24" s="3" t="n"/>
      <x:c r="B24" s="3" t="n"/>
      <x:c r="C24" s="51" t="n"/>
      <x:c r="D24" s="3" t="n"/>
      <x:c r="E24" s="3" t="n"/>
    </x:row>
  </x:sheetData>
  <x:mergeCells>
    <x:mergeCell ref="A2:E2"/>
    <x:mergeCell ref="A1:E1"/>
  </x:mergeCells>
  <x:conditionalFormatting sqref="E5:E24">
    <x:cfRule type="containsText" dxfId="0" priority="1" operator="between" text="通过">
      <x:formula>NOT(ISERROR(SEARCH("通过",E5)))</x:formula>
    </x:cfRule>
    <x:cfRule type="containsText" dxfId="1" priority="2" operator="between" text="待">
      <x:formula>NOT(ISERROR(SEARCH("待",E5)))</x:formula>
    </x:cfRule>
    <x:cfRule type="containsText" dxfId="2" priority="3" operator="between" text="错误">
      <x:formula>NOT(ISERROR(SEARCH("错误",E5)))</x:formula>
    </x:cfRule>
  </x:conditionalFormatting>
  <x:dataValidations count="2">
    <x:dataValidation type="list" allowBlank="0" showDropDown="0" showInputMessage="0" showErrorMessage="0" sqref="A5:A24">
      <x:formula1>"building.player_home,building.residential_house,building.lumber_cabin,building.fishing_hut,building.farm_field,building.market,building.warehouse,building.road,building.tree"</x:formula1>
    </x:dataValidation>
    <x:dataValidation type="list" allowBlank="0" showDropDown="0" showInputMessage="0" showErrorMessage="0" sqref="B5:B24">
      <x:formula1>"金币,泥土,石头,原木,木板,树苗,蔬菜,鱼,黄金鱼"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89b086244b48e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4" width="11" style="42" customWidth="1"/>
    <x:col min="5" max="5" width="15" style="42" customWidth="1"/>
    <x:col min="6" max="6" width="11" style="42" customWidth="1"/>
    <x:col min="7" max="7" width="17" style="42" customWidth="1"/>
    <x:col min="8" max="8" width="11" style="42" customWidth="1"/>
    <x:col min="9" max="9" width="13" style="42" customWidth="1"/>
    <x:col min="10" max="10" width="16" style="42" customWidth="1"/>
    <x:col min="11" max="11" width="18" style="42" customWidth="1"/>
  </x:cols>
  <x:sheetData>
    <x:row r="1" s="42" customFormat="1" ht="30" customHeight="1">
      <x:c r="A1" s="1" t="inlineStr">
        <x:is>
          <x:t xml:space="preserve">模块默认值：树木采集</x:t>
        </x:is>
      </x:c>
    </x:row>
    <x:row r="2" s="42" customFormat="1" ht="38" customHeight="1">
      <x:c r="A2" s="2" t="inlineStr">
        <x:is>
          <x:t xml:space="preserve">模块级配置，不随运营等级或 Style 变化。平均生命与预计双击次数为策划分析公式。</x:t>
        </x:is>
      </x:c>
    </x:row>
    <x:row r="3">
      <x:c r="A3" s="3" t="n"/>
      <x:c r="B3" s="3" t="n"/>
      <x:c r="C3" s="3" t="n"/>
      <x:c r="D3" s="3" t="n"/>
      <x:c r="E3" s="3" t="n"/>
      <x:c r="F3" s="3" t="n"/>
      <x:c r="G3" s="3" t="n"/>
      <x:c r="H3" s="3" t="n"/>
      <x:c r="I3" s="3" t="n"/>
      <x:c r="J3" s="3" t="n"/>
      <x:c r="K3" s="3" t="n"/>
    </x:row>
    <x:row r="4" s="42" customFormat="1" ht="30" customHeight="1">
      <x:c r="A4" s="4" t="inlineStr">
        <x:is>
          <x:t xml:space="preserve">FamilyId</x:t>
        </x:is>
      </x:c>
      <x:c r="B4" s="5" t="inlineStr">
        <x:is>
          <x:t xml:space="preserve">最低生命</x:t>
        </x:is>
      </x:c>
      <x:c r="C4" s="5" t="inlineStr">
        <x:is>
          <x:t xml:space="preserve">最高生命</x:t>
        </x:is>
      </x:c>
      <x:c r="D4" s="5" t="inlineStr">
        <x:is>
          <x:t xml:space="preserve">双击伤害</x:t>
        </x:is>
      </x:c>
      <x:c r="E4" s="5" t="inlineStr">
        <x:is>
          <x:t xml:space="preserve">WoodItemId</x:t>
        </x:is>
      </x:c>
      <x:c r="F4" s="5" t="inlineStr">
        <x:is>
          <x:t xml:space="preserve">原木奖励</x:t>
        </x:is>
      </x:c>
      <x:c r="G4" s="5" t="inlineStr">
        <x:is>
          <x:t xml:space="preserve">SaplingItemId</x:t>
        </x:is>
      </x:c>
      <x:c r="H4" s="5" t="inlineStr">
        <x:is>
          <x:t xml:space="preserve">树苗奖励</x:t>
        </x:is>
      </x:c>
      <x:c r="I4" s="5" t="inlineStr">
        <x:is>
          <x:t xml:space="preserve">平均生命</x:t>
        </x:is>
      </x:c>
      <x:c r="J4" s="5" t="inlineStr">
        <x:is>
          <x:t xml:space="preserve">预计双击次数</x:t>
        </x:is>
      </x:c>
      <x:c r="K4" s="6" t="inlineStr">
        <x:is>
          <x:t xml:space="preserve">校验</x:t>
        </x:is>
      </x:c>
    </x:row>
    <x:row r="5">
      <x:c r="A5" s="7" t="inlineStr">
        <x:is>
          <x:t xml:space="preserve">building.tree</x:t>
        </x:is>
      </x:c>
      <x:c r="B5" s="9" t="n">
        <x:v>3</x:v>
      </x:c>
      <x:c r="C5" s="9" t="n">
        <x:v>6</x:v>
      </x:c>
      <x:c r="D5" s="9" t="n">
        <x:v>1</x:v>
      </x:c>
      <x:c r="E5" s="9" t="inlineStr">
        <x:is>
          <x:t xml:space="preserve">原木</x:t>
        </x:is>
      </x:c>
      <x:c r="F5" s="9" t="n">
        <x:v>2</x:v>
      </x:c>
      <x:c r="G5" s="9" t="inlineStr">
        <x:is>
          <x:t xml:space="preserve">树苗</x:t>
        </x:is>
      </x:c>
      <x:c r="H5" s="9" t="n">
        <x:v>3</x:v>
      </x:c>
      <x:c r="I5" s="52" t="n">
        <x:f>(B5+C5)/2</x:f>
        <x:v>4.5</x:v>
      </x:c>
      <x:c r="J5" s="8" t="n">
        <x:f>ROUNDUP(I5/D5,0)</x:f>
        <x:v>5</x:v>
      </x:c>
      <x:c r="K5" s="10" t="str">
        <x:f>IF(C5&lt;B5,"错误：生命范围","通过")</x:f>
        <x:v>通过</x:v>
      </x:c>
    </x:row>
    <x:row r="6">
      <x:c r="A6" s="3" t="n"/>
      <x:c r="B6" s="15" t="n"/>
      <x:c r="C6" s="15" t="n"/>
      <x:c r="D6" s="15" t="n"/>
      <x:c r="E6" s="15" t="n"/>
      <x:c r="F6" s="15" t="n"/>
      <x:c r="G6" s="15" t="n"/>
      <x:c r="H6" s="15" t="n"/>
      <x:c r="I6" s="53" t="n"/>
      <x:c r="J6" s="15" t="n"/>
      <x:c r="K6" s="3" t="n"/>
    </x:row>
    <x:row r="7">
      <x:c r="A7" s="3" t="n"/>
      <x:c r="B7" s="15" t="n"/>
      <x:c r="C7" s="15" t="n"/>
      <x:c r="D7" s="15" t="n"/>
      <x:c r="E7" s="15" t="n"/>
      <x:c r="F7" s="15" t="n"/>
      <x:c r="G7" s="15" t="n"/>
      <x:c r="H7" s="15" t="n"/>
      <x:c r="I7" s="53" t="n"/>
      <x:c r="J7" s="15" t="n"/>
      <x:c r="K7" s="3" t="n"/>
    </x:row>
    <x:row r="8">
      <x:c r="A8" s="3" t="n"/>
      <x:c r="B8" s="15" t="n"/>
      <x:c r="C8" s="15" t="n"/>
      <x:c r="D8" s="15" t="n"/>
      <x:c r="E8" s="15" t="n"/>
      <x:c r="F8" s="15" t="n"/>
      <x:c r="G8" s="15" t="n"/>
      <x:c r="H8" s="15" t="n"/>
      <x:c r="I8" s="53" t="n"/>
      <x:c r="J8" s="15" t="n"/>
      <x:c r="K8" s="3" t="n"/>
    </x:row>
    <x:row r="9">
      <x:c r="A9" s="3" t="n"/>
      <x:c r="B9" s="15" t="n"/>
      <x:c r="C9" s="15" t="n"/>
      <x:c r="D9" s="15" t="n"/>
      <x:c r="E9" s="15" t="n"/>
      <x:c r="F9" s="15" t="n"/>
      <x:c r="G9" s="15" t="n"/>
      <x:c r="H9" s="15" t="n"/>
      <x:c r="I9" s="53" t="n"/>
      <x:c r="J9" s="15" t="n"/>
      <x:c r="K9" s="3" t="n"/>
    </x:row>
    <x:row r="10">
      <x:c r="A10" s="3" t="n"/>
      <x:c r="B10" s="15" t="n"/>
      <x:c r="C10" s="15" t="n"/>
      <x:c r="D10" s="15" t="n"/>
      <x:c r="E10" s="15" t="n"/>
      <x:c r="F10" s="15" t="n"/>
      <x:c r="G10" s="15" t="n"/>
      <x:c r="H10" s="15" t="n"/>
      <x:c r="I10" s="53" t="n"/>
      <x:c r="J10" s="15" t="n"/>
      <x:c r="K10" s="3" t="n"/>
    </x:row>
    <x:row r="11">
      <x:c r="A11" s="3" t="n"/>
      <x:c r="B11" s="15" t="n"/>
      <x:c r="C11" s="15" t="n"/>
      <x:c r="D11" s="15" t="n"/>
      <x:c r="E11" s="15" t="n"/>
      <x:c r="F11" s="15" t="n"/>
      <x:c r="G11" s="15" t="n"/>
      <x:c r="H11" s="15" t="n"/>
      <x:c r="I11" s="53" t="n"/>
      <x:c r="J11" s="15" t="n"/>
      <x:c r="K11" s="3" t="n"/>
    </x:row>
    <x:row r="12">
      <x:c r="A12" s="3" t="n"/>
      <x:c r="B12" s="15" t="n"/>
      <x:c r="C12" s="15" t="n"/>
      <x:c r="D12" s="15" t="n"/>
      <x:c r="E12" s="15" t="n"/>
      <x:c r="F12" s="15" t="n"/>
      <x:c r="G12" s="15" t="n"/>
      <x:c r="H12" s="15" t="n"/>
      <x:c r="I12" s="53" t="n"/>
      <x:c r="J12" s="15" t="n"/>
      <x:c r="K12" s="3" t="n"/>
    </x:row>
    <x:row r="13">
      <x:c r="A13" s="3" t="n"/>
      <x:c r="B13" s="15" t="n"/>
      <x:c r="C13" s="15" t="n"/>
      <x:c r="D13" s="15" t="n"/>
      <x:c r="E13" s="15" t="n"/>
      <x:c r="F13" s="15" t="n"/>
      <x:c r="G13" s="15" t="n"/>
      <x:c r="H13" s="15" t="n"/>
      <x:c r="I13" s="53" t="n"/>
      <x:c r="J13" s="15" t="n"/>
      <x:c r="K13" s="3" t="n"/>
    </x:row>
    <x:row r="14">
      <x:c r="A14" s="3" t="n"/>
      <x:c r="B14" s="15" t="n"/>
      <x:c r="C14" s="15" t="n"/>
      <x:c r="D14" s="15" t="n"/>
      <x:c r="E14" s="15" t="n"/>
      <x:c r="F14" s="15" t="n"/>
      <x:c r="G14" s="15" t="n"/>
      <x:c r="H14" s="15" t="n"/>
      <x:c r="I14" s="53" t="n"/>
      <x:c r="J14" s="15" t="n"/>
      <x:c r="K14" s="3" t="n"/>
    </x:row>
    <x:row r="15">
      <x:c r="A15" s="3" t="n"/>
      <x:c r="B15" s="15" t="n"/>
      <x:c r="C15" s="15" t="n"/>
      <x:c r="D15" s="15" t="n"/>
      <x:c r="E15" s="15" t="n"/>
      <x:c r="F15" s="15" t="n"/>
      <x:c r="G15" s="15" t="n"/>
      <x:c r="H15" s="15" t="n"/>
      <x:c r="I15" s="53" t="n"/>
      <x:c r="J15" s="15" t="n"/>
      <x:c r="K15" s="3" t="n"/>
    </x:row>
    <x:row r="16">
      <x:c r="A16" s="3" t="n"/>
      <x:c r="B16" s="15" t="n"/>
      <x:c r="C16" s="15" t="n"/>
      <x:c r="D16" s="15" t="n"/>
      <x:c r="E16" s="15" t="n"/>
      <x:c r="F16" s="15" t="n"/>
      <x:c r="G16" s="15" t="n"/>
      <x:c r="H16" s="15" t="n"/>
      <x:c r="I16" s="53" t="n"/>
      <x:c r="J16" s="15" t="n"/>
      <x:c r="K16" s="3" t="n"/>
    </x:row>
    <x:row r="17">
      <x:c r="A17" s="3" t="n"/>
      <x:c r="B17" s="15" t="n"/>
      <x:c r="C17" s="15" t="n"/>
      <x:c r="D17" s="15" t="n"/>
      <x:c r="E17" s="15" t="n"/>
      <x:c r="F17" s="15" t="n"/>
      <x:c r="G17" s="15" t="n"/>
      <x:c r="H17" s="15" t="n"/>
      <x:c r="I17" s="53" t="n"/>
      <x:c r="J17" s="15" t="n"/>
      <x:c r="K17" s="3" t="n"/>
    </x:row>
    <x:row r="18">
      <x:c r="A18" s="3" t="n"/>
      <x:c r="B18" s="15" t="n"/>
      <x:c r="C18" s="15" t="n"/>
      <x:c r="D18" s="15" t="n"/>
      <x:c r="E18" s="15" t="n"/>
      <x:c r="F18" s="15" t="n"/>
      <x:c r="G18" s="15" t="n"/>
      <x:c r="H18" s="15" t="n"/>
      <x:c r="I18" s="53" t="n"/>
      <x:c r="J18" s="15" t="n"/>
      <x:c r="K18" s="3" t="n"/>
    </x:row>
    <x:row r="19">
      <x:c r="A19" s="3" t="n"/>
      <x:c r="B19" s="15" t="n"/>
      <x:c r="C19" s="15" t="n"/>
      <x:c r="D19" s="15" t="n"/>
      <x:c r="E19" s="15" t="n"/>
      <x:c r="F19" s="15" t="n"/>
      <x:c r="G19" s="15" t="n"/>
      <x:c r="H19" s="15" t="n"/>
      <x:c r="I19" s="53" t="n"/>
      <x:c r="J19" s="15" t="n"/>
      <x:c r="K19" s="3" t="n"/>
    </x:row>
    <x:row r="20">
      <x:c r="A20" s="3" t="n"/>
      <x:c r="B20" s="15" t="n"/>
      <x:c r="C20" s="15" t="n"/>
      <x:c r="D20" s="15" t="n"/>
      <x:c r="E20" s="15" t="n"/>
      <x:c r="F20" s="15" t="n"/>
      <x:c r="G20" s="15" t="n"/>
      <x:c r="H20" s="15" t="n"/>
      <x:c r="I20" s="53" t="n"/>
      <x:c r="J20" s="15" t="n"/>
      <x:c r="K20" s="3" t="n"/>
    </x:row>
    <x:row r="21">
      <x:c r="A21" s="3" t="n"/>
      <x:c r="B21" s="15" t="n"/>
      <x:c r="C21" s="15" t="n"/>
      <x:c r="D21" s="15" t="n"/>
      <x:c r="E21" s="15" t="n"/>
      <x:c r="F21" s="15" t="n"/>
      <x:c r="G21" s="15" t="n"/>
      <x:c r="H21" s="15" t="n"/>
      <x:c r="I21" s="53" t="n"/>
      <x:c r="J21" s="15" t="n"/>
      <x:c r="K21" s="3" t="n"/>
    </x:row>
    <x:row r="22">
      <x:c r="A22" s="3" t="n"/>
      <x:c r="B22" s="15" t="n"/>
      <x:c r="C22" s="15" t="n"/>
      <x:c r="D22" s="15" t="n"/>
      <x:c r="E22" s="15" t="n"/>
      <x:c r="F22" s="15" t="n"/>
      <x:c r="G22" s="15" t="n"/>
      <x:c r="H22" s="15" t="n"/>
      <x:c r="I22" s="53" t="n"/>
      <x:c r="J22" s="15" t="n"/>
      <x:c r="K22" s="3" t="n"/>
    </x:row>
    <x:row r="23">
      <x:c r="A23" s="3" t="n"/>
      <x:c r="B23" s="15" t="n"/>
      <x:c r="C23" s="15" t="n"/>
      <x:c r="D23" s="15" t="n"/>
      <x:c r="E23" s="15" t="n"/>
      <x:c r="F23" s="15" t="n"/>
      <x:c r="G23" s="15" t="n"/>
      <x:c r="H23" s="15" t="n"/>
      <x:c r="I23" s="53" t="n"/>
      <x:c r="J23" s="15" t="n"/>
      <x:c r="K23" s="3" t="n"/>
    </x:row>
    <x:row r="24">
      <x:c r="A24" s="3" t="n"/>
      <x:c r="B24" s="15" t="n"/>
      <x:c r="C24" s="15" t="n"/>
      <x:c r="D24" s="15" t="n"/>
      <x:c r="E24" s="15" t="n"/>
      <x:c r="F24" s="15" t="n"/>
      <x:c r="G24" s="15" t="n"/>
      <x:c r="H24" s="15" t="n"/>
      <x:c r="I24" s="53" t="n"/>
      <x:c r="J24" s="15" t="n"/>
      <x:c r="K24" s="3" t="n"/>
    </x:row>
  </x:sheetData>
  <x:mergeCells>
    <x:mergeCell ref="A2:K2"/>
    <x:mergeCell ref="A1:K1"/>
  </x:mergeCells>
  <x:conditionalFormatting sqref="K5:K24">
    <x:cfRule type="containsText" dxfId="0" priority="1" operator="between" text="通过">
      <x:formula>NOT(ISERROR(SEARCH("通过",K5)))</x:formula>
    </x:cfRule>
    <x:cfRule type="containsText" dxfId="1" priority="2" operator="between" text="待">
      <x:formula>NOT(ISERROR(SEARCH("待",K5)))</x:formula>
    </x:cfRule>
    <x:cfRule type="containsText" dxfId="2" priority="3" operator="between" text="错误">
      <x:formula>NOT(ISERROR(SEARCH("错误",K5)))</x:formula>
    </x:cfRule>
  </x:conditionalFormatting>
  <x:dataValidations count="2">
    <x:dataValidation type="list" allowBlank="0" showDropDown="0" showInputMessage="0" showErrorMessage="0" sqref="A5:A24">
      <x:formula1>"building.player_home,building.residential_house,building.lumber_cabin,building.fishing_hut,building.farm_field,building.market,building.warehouse,building.road,building.tree"</x:formula1>
    </x:dataValidation>
    <x:dataValidation type="list" allowBlank="0" showDropDown="0" showInputMessage="0" showErrorMessage="0" sqref="E5:E24 G5:G24">
      <x:formula1>"金币,泥土,石头,原木,木板,树苗,蔬菜,鱼,黄金鱼"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3291b301ab4c0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5" style="42" hidden="0" customWidth="1"/>
    <x:col min="2" max="2" width="38" style="42" hidden="0" customWidth="1"/>
    <x:col min="3" max="3" width="23" style="42" hidden="0" customWidth="1"/>
    <x:col min="4" max="4" width="18" style="42" hidden="0" customWidth="1"/>
    <x:col min="5" max="5" width="18" style="42" hidden="0" customWidth="1"/>
    <x:col min="6" max="6" width="13" style="42" hidden="0" customWidth="1"/>
    <x:col min="7" max="7" width="13" style="42" hidden="0" customWidth="1"/>
    <x:col min="8" max="8" width="13" style="42" hidden="0" customWidth="1"/>
    <x:col min="9" max="9" width="13" style="42" hidden="0" customWidth="1"/>
    <x:col min="10" max="10" width="18" style="42" hidden="0" customWidth="1"/>
    <x:col min="11" max="11" width="16" style="42" hidden="0" customWidth="1"/>
    <x:col min="12" max="12" width="28" hidden="0" customWidth="1"/>
    <x:col min="13" max="13" width="28" hidden="0" customWidth="1"/>
  </x:cols>
  <x:sheetData>
    <x:row r="1" s="42" customFormat="1" ht="26" customHeight="1">
      <x:c r="A1" s="115" t="str">
        <x:v>模块默认值：范围效果</x:v>
      </x:c>
      <x:c r="B1" s="115" t="str"/>
      <x:c r="C1" s="115" t="str"/>
      <x:c r="D1" s="115" t="str"/>
      <x:c r="E1" s="115" t="str"/>
      <x:c r="F1" s="115" t="str"/>
      <x:c r="G1" s="115" t="str"/>
      <x:c r="H1" s="115" t="str"/>
      <x:c r="I1" s="115" t="str"/>
      <x:c r="J1" s="115" t="str"/>
      <x:c r="K1" s="115" t="str"/>
      <x:c r="L1" s="142" t="str"/>
      <x:c r="M1" s="142" t="str"/>
    </x:row>
    <x:row r="2" s="42" customFormat="1" ht="34" customHeight="1">
      <x:c r="A2" s="118" t="str">
        <x:v>一行一个 FamilyId + EffectId。Unity 中先创建效果资产并挂入 ModuleSet；本表管理生效等级、最低工人、范围、数值和叠加规则。</x:v>
      </x:c>
      <x:c r="B2" s="118" t="str"/>
      <x:c r="C2" s="118" t="str"/>
      <x:c r="D2" s="118" t="str"/>
      <x:c r="E2" s="118" t="str"/>
      <x:c r="F2" s="118" t="str"/>
      <x:c r="G2" s="118" t="str"/>
      <x:c r="H2" s="118" t="str"/>
      <x:c r="I2" s="118" t="str"/>
      <x:c r="J2" s="118" t="str"/>
      <x:c r="K2" s="118" t="str"/>
      <x:c r="L2" s="128" t="str"/>
      <x:c r="M2" s="128" t="str"/>
    </x:row>
    <x:row r="3">
      <x:c r="A3"/>
      <x:c r="B3"/>
      <x:c r="C3"/>
      <x:c r="D3"/>
      <x:c r="E3"/>
      <x:c r="F3"/>
      <x:c r="G3"/>
      <x:c r="H3"/>
      <x:c r="I3"/>
      <x:c r="J3"/>
      <x:c r="K3"/>
      <x:c r="L3" s="128"/>
      <x:c r="M3" s="128"/>
    </x:row>
    <x:row r="4" s="42" customFormat="1" ht="28" customHeight="1">
      <x:c r="A4" s="122" t="str">
        <x:v>FamilyId</x:v>
      </x:c>
      <x:c r="B4" s="122" t="str">
        <x:v>EffectId</x:v>
      </x:c>
      <x:c r="C4" s="122" t="str">
        <x:v>显示名</x:v>
      </x:c>
      <x:c r="D4" s="122" t="str">
        <x:v>Kind</x:v>
      </x:c>
      <x:c r="E4" s="122" t="str">
        <x:v>TargetFilter</x:v>
      </x:c>
      <x:c r="F4" s="122" t="str">
        <x:v>生效Level</x:v>
      </x:c>
      <x:c r="G4" s="122" t="str">
        <x:v>最低工人</x:v>
      </x:c>
      <x:c r="H4" s="122" t="str">
        <x:v>曼哈顿半径</x:v>
      </x:c>
      <x:c r="I4" s="122" t="str">
        <x:v>效果数值</x:v>
      </x:c>
      <x:c r="J4" s="122" t="str">
        <x:v>StackingRule</x:v>
      </x:c>
      <x:c r="K4" s="122" t="str">
        <x:v>影响自身占地</x:v>
      </x:c>
      <x:c r="L4" s="142" t="str">
        <x:v>覆盖格说明</x:v>
      </x:c>
      <x:c r="M4" s="142" t="str">
        <x:v>校验</x:v>
      </x:c>
    </x:row>
    <x:row r="5">
      <x:c r="A5" s="127" t="str">
        <x:v>building.tree</x:v>
      </x:c>
      <x:c r="B5" s="127" t="str">
        <x:v>beauty.tree</x:v>
      </x:c>
      <x:c r="C5" s="127" t="str">
        <x:v>树木美化</x:v>
      </x:c>
      <x:c r="D5" s="127" t="str">
        <x:v>beauty</x:v>
      </x:c>
      <x:c r="E5" s="127" t="str">
        <x:v>cell</x:v>
      </x:c>
      <x:c r="F5" s="130" t="n">
        <x:v>0</x:v>
      </x:c>
      <x:c r="G5" s="130" t="n">
        <x:v>0</x:v>
      </x:c>
      <x:c r="H5" s="130" t="n">
        <x:v>1</x:v>
      </x:c>
      <x:c r="I5" s="130" t="n">
        <x:v>1</x:v>
      </x:c>
      <x:c r="J5" s="127" t="str">
        <x:v>highest_value</x:v>
      </x:c>
      <x:c r="K5" s="127" t="str">
        <x:v>否</x:v>
      </x:c>
      <x:c r="L5" s="128" t="str">
        <x:f>IF(AND(D5="beauty",E5="cell",H5=1,I5=1,K5="否"),"正交四邻格各 +1",IF(D5="medical","按工人与等级提供医疗",IF(D5="security","按工人与等级提供治安","按当前参数计算")))</x:f>
        <x:v>正交四邻格各 +1</x:v>
      </x:c>
      <x:c r="M5" s="128" t="str">
        <x:f>IF(OR(F5&lt;0,G5&lt;0,H5&lt;0,I5&lt;=0,AND(K5="否",H5&lt;1)),"错误：等级/工人/范围/数值",IF(AND(OR(D5="beauty",D5="medical",D5="security"),E5&lt;&gt;"cell"),"错误：格子效果目标","通过"))</x:f>
        <x:v>通过</x:v>
      </x:c>
    </x:row>
    <x:row r="6">
      <x:c r="A6" s="127" t="str">
        <x:v>building.sculpture</x:v>
      </x:c>
      <x:c r="B6" s="127" t="str">
        <x:v>beauty.sculpture</x:v>
      </x:c>
      <x:c r="C6" s="127" t="str">
        <x:v>雕塑美化</x:v>
      </x:c>
      <x:c r="D6" s="127" t="str">
        <x:v>beauty</x:v>
      </x:c>
      <x:c r="E6" s="127" t="str">
        <x:v>cell</x:v>
      </x:c>
      <x:c r="F6" s="130" t="n">
        <x:v>0</x:v>
      </x:c>
      <x:c r="G6" s="130" t="n">
        <x:v>0</x:v>
      </x:c>
      <x:c r="H6" s="130" t="n">
        <x:v>1</x:v>
      </x:c>
      <x:c r="I6" s="130" t="n">
        <x:v>1</x:v>
      </x:c>
      <x:c r="J6" s="127" t="str">
        <x:v>highest_value</x:v>
      </x:c>
      <x:c r="K6" s="127" t="str">
        <x:v>否</x:v>
      </x:c>
      <x:c r="L6" s="127" t="str">
        <x:f>IF(AND(D6="beauty",E6="cell",H6=1,I6=1,K6="否"),"正交四邻格各 +1",IF(D6="medical","按工人与等级提供医疗",IF(D6="security","按工人与等级提供治安","按当前参数计算")))</x:f>
        <x:v>正交四邻格各 +1</x:v>
      </x:c>
      <x:c r="M6" s="127" t="str">
        <x:f>IF(OR(F6&lt;0,G6&lt;0,H6&lt;0,I6&lt;=0,AND(K6="否",H6&lt;1)),"错误：等级/工人/范围/数值",IF(AND(OR(D6="beauty",D6="medical",D6="security"),E6&lt;&gt;"cell"),"错误：格子效果目标","通过"))</x:f>
        <x:v>通过</x:v>
      </x:c>
    </x:row>
    <x:row r="7">
      <x:c r="A7" s="127" t="str">
        <x:v>building.hospital</x:v>
      </x:c>
      <x:c r="B7" s="127" t="str">
        <x:v>medical.hospital.lv1.2_workers</x:v>
      </x:c>
      <x:c r="C7" s="127" t="str">
        <x:v>医院 LV1 基础医疗</x:v>
      </x:c>
      <x:c r="D7" s="127" t="str">
        <x:v>medical</x:v>
      </x:c>
      <x:c r="E7" s="127" t="str">
        <x:v>cell</x:v>
      </x:c>
      <x:c r="F7" s="130" t="n">
        <x:v>1</x:v>
      </x:c>
      <x:c r="G7" s="130" t="n">
        <x:v>2</x:v>
      </x:c>
      <x:c r="H7" s="130" t="n">
        <x:v>5</x:v>
      </x:c>
      <x:c r="I7" s="130" t="n">
        <x:v>1</x:v>
      </x:c>
      <x:c r="J7" s="127" t="str">
        <x:v>highest_value</x:v>
      </x:c>
      <x:c r="K7" s="127" t="str">
        <x:v>否</x:v>
      </x:c>
      <x:c r="L7" s="127" t="str">
        <x:f>IF(AND(D7="beauty",E7="cell",H7=1,I7=1,K7="否"),"正交四邻格各 +1",IF(D7="medical","按工人与等级提供医疗",IF(D7="security","按工人与等级提供治安","按当前参数计算")))</x:f>
        <x:v>按工人与等级提供医疗</x:v>
      </x:c>
      <x:c r="M7" s="127" t="str">
        <x:f>IF(OR(F7&lt;0,G7&lt;0,H7&lt;0,I7&lt;=0,AND(K7="否",H7&lt;1)),"错误：等级/工人/范围/数值",IF(AND(OR(D7="beauty",D7="medical",D7="security"),E7&lt;&gt;"cell"),"错误：格子效果目标","通过"))</x:f>
        <x:v>通过</x:v>
      </x:c>
    </x:row>
    <x:row r="8">
      <x:c r="A8" s="127" t="str">
        <x:v>building.hospital</x:v>
      </x:c>
      <x:c r="B8" s="127" t="str">
        <x:v>medical.hospital.lv1.4_workers</x:v>
      </x:c>
      <x:c r="C8" s="127" t="str">
        <x:v>医院 LV1 满岗医疗</x:v>
      </x:c>
      <x:c r="D8" s="127" t="str">
        <x:v>medical</x:v>
      </x:c>
      <x:c r="E8" s="127" t="str">
        <x:v>cell</x:v>
      </x:c>
      <x:c r="F8" s="130" t="n">
        <x:v>1</x:v>
      </x:c>
      <x:c r="G8" s="130" t="n">
        <x:v>4</x:v>
      </x:c>
      <x:c r="H8" s="130" t="n">
        <x:v>8</x:v>
      </x:c>
      <x:c r="I8" s="130" t="n">
        <x:v>1</x:v>
      </x:c>
      <x:c r="J8" s="127" t="str">
        <x:v>highest_value</x:v>
      </x:c>
      <x:c r="K8" s="127" t="str">
        <x:v>否</x:v>
      </x:c>
      <x:c r="L8" s="127" t="str">
        <x:f>IF(AND(D8="beauty",E8="cell",H8=1,I8=1,K8="否"),"正交四邻格各 +1",IF(D8="medical","按工人与等级提供医疗",IF(D8="security","按工人与等级提供治安","按当前参数计算")))</x:f>
        <x:v>按工人与等级提供医疗</x:v>
      </x:c>
      <x:c r="M8" s="127" t="str">
        <x:f>IF(OR(F8&lt;0,G8&lt;0,H8&lt;0,I8&lt;=0,AND(K8="否",H8&lt;1)),"错误：等级/工人/范围/数值",IF(AND(OR(D8="beauty",D8="medical",D8="security"),E8&lt;&gt;"cell"),"错误：格子效果目标","通过"))</x:f>
        <x:v>通过</x:v>
      </x:c>
    </x:row>
    <x:row r="9">
      <x:c r="A9" s="127" t="str">
        <x:v>building.hospital</x:v>
      </x:c>
      <x:c r="B9" s="127" t="str">
        <x:v>medical.hospital.lv2.4_workers</x:v>
      </x:c>
      <x:c r="C9" s="127" t="str">
        <x:v>医院 LV2 基础医疗</x:v>
      </x:c>
      <x:c r="D9" s="127" t="str">
        <x:v>medical</x:v>
      </x:c>
      <x:c r="E9" s="127" t="str">
        <x:v>cell</x:v>
      </x:c>
      <x:c r="F9" s="130" t="n">
        <x:v>2</x:v>
      </x:c>
      <x:c r="G9" s="130" t="n">
        <x:v>4</x:v>
      </x:c>
      <x:c r="H9" s="130" t="n">
        <x:v>8</x:v>
      </x:c>
      <x:c r="I9" s="130" t="n">
        <x:v>2</x:v>
      </x:c>
      <x:c r="J9" s="127" t="str">
        <x:v>highest_value</x:v>
      </x:c>
      <x:c r="K9" s="127" t="str">
        <x:v>否</x:v>
      </x:c>
      <x:c r="L9" s="127" t="str">
        <x:f>IF(AND(D9="beauty",E9="cell",H9=1,I9=1,K9="否"),"正交四邻格各 +1",IF(D9="medical","按工人与等级提供医疗",IF(D9="security","按工人与等级提供治安","按当前参数计算")))</x:f>
        <x:v>按工人与等级提供医疗</x:v>
      </x:c>
      <x:c r="M9" s="127" t="str">
        <x:f>IF(OR(F9&lt;0,G9&lt;0,H9&lt;0,I9&lt;=0,AND(K9="否",H9&lt;1)),"错误：等级/工人/范围/数值",IF(AND(OR(D9="beauty",D9="medical",D9="security"),E9&lt;&gt;"cell"),"错误：格子效果目标","通过"))</x:f>
        <x:v>通过</x:v>
      </x:c>
    </x:row>
    <x:row r="10">
      <x:c r="A10" s="127" t="str">
        <x:v>building.hospital</x:v>
      </x:c>
      <x:c r="B10" s="127" t="str">
        <x:v>medical.hospital.lv2.8_workers</x:v>
      </x:c>
      <x:c r="C10" s="127" t="str">
        <x:v>医院 LV2 满岗医疗</x:v>
      </x:c>
      <x:c r="D10" s="127" t="str">
        <x:v>medical</x:v>
      </x:c>
      <x:c r="E10" s="127" t="str">
        <x:v>cell</x:v>
      </x:c>
      <x:c r="F10" s="130" t="n">
        <x:v>2</x:v>
      </x:c>
      <x:c r="G10" s="130" t="n">
        <x:v>8</x:v>
      </x:c>
      <x:c r="H10" s="130" t="n">
        <x:v>12</x:v>
      </x:c>
      <x:c r="I10" s="130" t="n">
        <x:v>2</x:v>
      </x:c>
      <x:c r="J10" s="127" t="str">
        <x:v>highest_value</x:v>
      </x:c>
      <x:c r="K10" s="127" t="str">
        <x:v>否</x:v>
      </x:c>
      <x:c r="L10" s="127" t="str">
        <x:f>IF(AND(D10="beauty",E10="cell",H10=1,I10=1,K10="否"),"正交四邻格各 +1",IF(D10="medical","按工人与等级提供医疗",IF(D10="security","按工人与等级提供治安","按当前参数计算")))</x:f>
        <x:v>按工人与等级提供医疗</x:v>
      </x:c>
      <x:c r="M10" s="127" t="str">
        <x:f>IF(OR(F10&lt;0,G10&lt;0,H10&lt;0,I10&lt;=0,AND(K10="否",H10&lt;1)),"错误：等级/工人/范围/数值",IF(AND(OR(D10="beauty",D10="medical",D10="security"),E10&lt;&gt;"cell"),"错误：格子效果目标","通过"))</x:f>
        <x:v>通过</x:v>
      </x:c>
    </x:row>
    <x:row r="11">
      <x:c r="A11" s="127" t="str">
        <x:v>building.hospital</x:v>
      </x:c>
      <x:c r="B11" s="127" t="str">
        <x:v>medical.hospital.lv3.8_workers</x:v>
      </x:c>
      <x:c r="C11" s="127" t="str">
        <x:v>医院 LV3 基础医疗</x:v>
      </x:c>
      <x:c r="D11" s="127" t="str">
        <x:v>medical</x:v>
      </x:c>
      <x:c r="E11" s="127" t="str">
        <x:v>cell</x:v>
      </x:c>
      <x:c r="F11" s="130" t="n">
        <x:v>3</x:v>
      </x:c>
      <x:c r="G11" s="130" t="n">
        <x:v>8</x:v>
      </x:c>
      <x:c r="H11" s="130" t="n">
        <x:v>12</x:v>
      </x:c>
      <x:c r="I11" s="130" t="n">
        <x:v>3</x:v>
      </x:c>
      <x:c r="J11" s="127" t="str">
        <x:v>highest_value</x:v>
      </x:c>
      <x:c r="K11" s="127" t="str">
        <x:v>否</x:v>
      </x:c>
      <x:c r="L11" s="127" t="str">
        <x:f>IF(AND(D11="beauty",E11="cell",H11=1,I11=1,K11="否"),"正交四邻格各 +1",IF(D11="medical","按工人与等级提供医疗",IF(D11="security","按工人与等级提供治安","按当前参数计算")))</x:f>
        <x:v>按工人与等级提供医疗</x:v>
      </x:c>
      <x:c r="M11" s="127" t="str">
        <x:f>IF(OR(F11&lt;0,G11&lt;0,H11&lt;0,I11&lt;=0,AND(K11="否",H11&lt;1)),"错误：等级/工人/范围/数值",IF(AND(OR(D11="beauty",D11="medical",D11="security"),E11&lt;&gt;"cell"),"错误：格子效果目标","通过"))</x:f>
        <x:v>通过</x:v>
      </x:c>
    </x:row>
    <x:row r="12">
      <x:c r="A12" s="127" t="str">
        <x:v>building.hospital</x:v>
      </x:c>
      <x:c r="B12" s="127" t="str">
        <x:v>medical.hospital.lv3.16_workers</x:v>
      </x:c>
      <x:c r="C12" s="127" t="str">
        <x:v>医院 LV3 满岗医疗</x:v>
      </x:c>
      <x:c r="D12" s="127" t="str">
        <x:v>medical</x:v>
      </x:c>
      <x:c r="E12" s="127" t="str">
        <x:v>cell</x:v>
      </x:c>
      <x:c r="F12" s="130" t="n">
        <x:v>3</x:v>
      </x:c>
      <x:c r="G12" s="130" t="n">
        <x:v>16</x:v>
      </x:c>
      <x:c r="H12" s="130" t="n">
        <x:v>18</x:v>
      </x:c>
      <x:c r="I12" s="130" t="n">
        <x:v>3</x:v>
      </x:c>
      <x:c r="J12" s="127" t="str">
        <x:v>highest_value</x:v>
      </x:c>
      <x:c r="K12" s="127" t="str">
        <x:v>否</x:v>
      </x:c>
      <x:c r="L12" s="127" t="str">
        <x:f>IF(AND(D12="beauty",E12="cell",H12=1,I12=1,K12="否"),"正交四邻格各 +1",IF(D12="medical","按工人与等级提供医疗",IF(D12="security","按工人与等级提供治安","按当前参数计算")))</x:f>
        <x:v>按工人与等级提供医疗</x:v>
      </x:c>
      <x:c r="M12" s="127" t="str">
        <x:f>IF(OR(F12&lt;0,G12&lt;0,H12&lt;0,I12&lt;=0,AND(K12="否",H12&lt;1)),"错误：等级/工人/范围/数值",IF(AND(OR(D12="beauty",D12="medical",D12="security"),E12&lt;&gt;"cell"),"错误：格子效果目标","通过"))</x:f>
        <x:v>通过</x:v>
      </x:c>
    </x:row>
    <x:row r="13">
      <x:c r="A13" s="152" t="str">
        <x:v>building.police_station</x:v>
      </x:c>
      <x:c r="B13" s="152" t="str">
        <x:v>security.police_station.lv1.2_workers</x:v>
      </x:c>
      <x:c r="C13" s="152" t="str">
        <x:v>警局 LV1 基础治安</x:v>
      </x:c>
      <x:c r="D13" s="152" t="str">
        <x:v>security</x:v>
      </x:c>
      <x:c r="E13" s="152" t="str">
        <x:v>cell</x:v>
      </x:c>
      <x:c r="F13" s="152" t="n">
        <x:v>1</x:v>
      </x:c>
      <x:c r="G13" s="152" t="n">
        <x:v>2</x:v>
      </x:c>
      <x:c r="H13" s="152" t="n">
        <x:v>5</x:v>
      </x:c>
      <x:c r="I13" s="152" t="n">
        <x:v>1</x:v>
      </x:c>
      <x:c r="J13" s="152" t="str">
        <x:v>highest_value</x:v>
      </x:c>
      <x:c r="K13" s="152" t="str">
        <x:v>否</x:v>
      </x:c>
      <x:c r="L13" s="158" t="str">
        <x:f>IF(AND(D13="beauty",E13="cell",H13=1,I13=1,K13="否"),"正交四邻格各 +1",IF(D13="medical","按工人与等级提供医疗",IF(D13="security","按工人与等级提供治安","按当前参数计算")))</x:f>
        <x:v>按工人与等级提供治安</x:v>
      </x:c>
      <x:c r="M13" s="158" t="str">
        <x:f>IF(OR(F13&lt;0,G13&lt;0,H13&lt;0,I13&lt;=0,AND(K13="否",H13&lt;1)),"错误：等级/工人/范围/数值",IF(AND(OR(D13="beauty",D13="medical",D13="security"),E13&lt;&gt;"cell"),"错误：格子效果目标","通过"))</x:f>
        <x:v>通过</x:v>
      </x:c>
    </x:row>
    <x:row r="14">
      <x:c r="A14" s="152" t="str">
        <x:v>building.police_station</x:v>
      </x:c>
      <x:c r="B14" s="152" t="str">
        <x:v>security.police_station.lv1.4_workers</x:v>
      </x:c>
      <x:c r="C14" s="152" t="str">
        <x:v>警局 LV1 满岗治安</x:v>
      </x:c>
      <x:c r="D14" s="152" t="str">
        <x:v>security</x:v>
      </x:c>
      <x:c r="E14" s="152" t="str">
        <x:v>cell</x:v>
      </x:c>
      <x:c r="F14" s="152" t="n">
        <x:v>1</x:v>
      </x:c>
      <x:c r="G14" s="152" t="n">
        <x:v>4</x:v>
      </x:c>
      <x:c r="H14" s="152" t="n">
        <x:v>8</x:v>
      </x:c>
      <x:c r="I14" s="152" t="n">
        <x:v>1</x:v>
      </x:c>
      <x:c r="J14" s="152" t="str">
        <x:v>highest_value</x:v>
      </x:c>
      <x:c r="K14" s="152" t="str">
        <x:v>否</x:v>
      </x:c>
      <x:c r="L14" s="158" t="str">
        <x:f>IF(AND(D14="beauty",E14="cell",H14=1,I14=1,K14="否"),"正交四邻格各 +1",IF(D14="medical","按工人与等级提供医疗",IF(D14="security","按工人与等级提供治安","按当前参数计算")))</x:f>
        <x:v>按工人与等级提供治安</x:v>
      </x:c>
      <x:c r="M14" s="158" t="str">
        <x:f>IF(OR(F14&lt;0,G14&lt;0,H14&lt;0,I14&lt;=0,AND(K14="否",H14&lt;1)),"错误：等级/工人/范围/数值",IF(AND(OR(D14="beauty",D14="medical",D14="security"),E14&lt;&gt;"cell"),"错误：格子效果目标","通过"))</x:f>
        <x:v>通过</x:v>
      </x:c>
    </x:row>
    <x:row r="15">
      <x:c r="A15" s="152" t="str">
        <x:v>building.police_station</x:v>
      </x:c>
      <x:c r="B15" s="152" t="str">
        <x:v>security.police_station.lv2.4_workers</x:v>
      </x:c>
      <x:c r="C15" s="152" t="str">
        <x:v>警局 LV2 基础治安</x:v>
      </x:c>
      <x:c r="D15" s="152" t="str">
        <x:v>security</x:v>
      </x:c>
      <x:c r="E15" s="152" t="str">
        <x:v>cell</x:v>
      </x:c>
      <x:c r="F15" s="152" t="n">
        <x:v>2</x:v>
      </x:c>
      <x:c r="G15" s="152" t="n">
        <x:v>4</x:v>
      </x:c>
      <x:c r="H15" s="152" t="n">
        <x:v>8</x:v>
      </x:c>
      <x:c r="I15" s="152" t="n">
        <x:v>2</x:v>
      </x:c>
      <x:c r="J15" s="152" t="str">
        <x:v>highest_value</x:v>
      </x:c>
      <x:c r="K15" s="152" t="str">
        <x:v>否</x:v>
      </x:c>
      <x:c r="L15" s="158" t="str">
        <x:f>IF(AND(D15="beauty",E15="cell",H15=1,I15=1,K15="否"),"正交四邻格各 +1",IF(D15="medical","按工人与等级提供医疗",IF(D15="security","按工人与等级提供治安","按当前参数计算")))</x:f>
        <x:v>按工人与等级提供治安</x:v>
      </x:c>
      <x:c r="M15" s="158" t="str">
        <x:f>IF(OR(F15&lt;0,G15&lt;0,H15&lt;0,I15&lt;=0,AND(K15="否",H15&lt;1)),"错误：等级/工人/范围/数值",IF(AND(OR(D15="beauty",D15="medical",D15="security"),E15&lt;&gt;"cell"),"错误：格子效果目标","通过"))</x:f>
        <x:v>通过</x:v>
      </x:c>
    </x:row>
    <x:row r="16">
      <x:c r="A16" s="152" t="str">
        <x:v>building.police_station</x:v>
      </x:c>
      <x:c r="B16" s="152" t="str">
        <x:v>security.police_station.lv2.8_workers</x:v>
      </x:c>
      <x:c r="C16" s="152" t="str">
        <x:v>警局 LV2 满岗治安</x:v>
      </x:c>
      <x:c r="D16" s="152" t="str">
        <x:v>security</x:v>
      </x:c>
      <x:c r="E16" s="152" t="str">
        <x:v>cell</x:v>
      </x:c>
      <x:c r="F16" s="152" t="n">
        <x:v>2</x:v>
      </x:c>
      <x:c r="G16" s="152" t="n">
        <x:v>8</x:v>
      </x:c>
      <x:c r="H16" s="152" t="n">
        <x:v>12</x:v>
      </x:c>
      <x:c r="I16" s="152" t="n">
        <x:v>2</x:v>
      </x:c>
      <x:c r="J16" s="152" t="str">
        <x:v>highest_value</x:v>
      </x:c>
      <x:c r="K16" s="152" t="str">
        <x:v>否</x:v>
      </x:c>
      <x:c r="L16" s="158" t="str">
        <x:f>IF(AND(D16="beauty",E16="cell",H16=1,I16=1,K16="否"),"正交四邻格各 +1",IF(D16="medical","按工人与等级提供医疗",IF(D16="security","按工人与等级提供治安","按当前参数计算")))</x:f>
        <x:v>按工人与等级提供治安</x:v>
      </x:c>
      <x:c r="M16" s="158" t="str">
        <x:f>IF(OR(F16&lt;0,G16&lt;0,H16&lt;0,I16&lt;=0,AND(K16="否",H16&lt;1)),"错误：等级/工人/范围/数值",IF(AND(OR(D16="beauty",D16="medical",D16="security"),E16&lt;&gt;"cell"),"错误：格子效果目标","通过"))</x:f>
        <x:v>通过</x:v>
      </x:c>
    </x:row>
    <x:row r="17">
      <x:c r="A17" s="152" t="str">
        <x:v>building.police_station</x:v>
      </x:c>
      <x:c r="B17" s="152" t="str">
        <x:v>security.police_station.lv3.8_workers</x:v>
      </x:c>
      <x:c r="C17" s="152" t="str">
        <x:v>警局 LV3 基础治安</x:v>
      </x:c>
      <x:c r="D17" s="152" t="str">
        <x:v>security</x:v>
      </x:c>
      <x:c r="E17" s="152" t="str">
        <x:v>cell</x:v>
      </x:c>
      <x:c r="F17" s="152" t="n">
        <x:v>3</x:v>
      </x:c>
      <x:c r="G17" s="152" t="n">
        <x:v>8</x:v>
      </x:c>
      <x:c r="H17" s="152" t="n">
        <x:v>12</x:v>
      </x:c>
      <x:c r="I17" s="152" t="n">
        <x:v>3</x:v>
      </x:c>
      <x:c r="J17" s="152" t="str">
        <x:v>highest_value</x:v>
      </x:c>
      <x:c r="K17" s="152" t="str">
        <x:v>否</x:v>
      </x:c>
      <x:c r="L17" s="158" t="str">
        <x:f>IF(AND(D17="beauty",E17="cell",H17=1,I17=1,K17="否"),"正交四邻格各 +1",IF(D17="medical","按工人与等级提供医疗",IF(D17="security","按工人与等级提供治安","按当前参数计算")))</x:f>
        <x:v>按工人与等级提供治安</x:v>
      </x:c>
      <x:c r="M17" s="158" t="str">
        <x:f>IF(OR(F17&lt;0,G17&lt;0,H17&lt;0,I17&lt;=0,AND(K17="否",H17&lt;1)),"错误：等级/工人/范围/数值",IF(AND(OR(D17="beauty",D17="medical",D17="security"),E17&lt;&gt;"cell"),"错误：格子效果目标","通过"))</x:f>
        <x:v>通过</x:v>
      </x:c>
    </x:row>
    <x:row r="18">
      <x:c r="A18" s="152" t="str">
        <x:v>building.police_station</x:v>
      </x:c>
      <x:c r="B18" s="152" t="str">
        <x:v>security.police_station.lv3.16_workers</x:v>
      </x:c>
      <x:c r="C18" s="152" t="str">
        <x:v>警局 LV3 满岗治安</x:v>
      </x:c>
      <x:c r="D18" s="152" t="str">
        <x:v>security</x:v>
      </x:c>
      <x:c r="E18" s="152" t="str">
        <x:v>cell</x:v>
      </x:c>
      <x:c r="F18" s="152" t="n">
        <x:v>3</x:v>
      </x:c>
      <x:c r="G18" s="152" t="n">
        <x:v>16</x:v>
      </x:c>
      <x:c r="H18" s="152" t="n">
        <x:v>18</x:v>
      </x:c>
      <x:c r="I18" s="152" t="n">
        <x:v>3</x:v>
      </x:c>
      <x:c r="J18" s="152" t="str">
        <x:v>highest_value</x:v>
      </x:c>
      <x:c r="K18" s="152" t="str">
        <x:v>否</x:v>
      </x:c>
      <x:c r="L18" s="158" t="str">
        <x:f>IF(AND(D18="beauty",E18="cell",H18=1,I18=1,K18="否"),"正交四邻格各 +1",IF(D18="medical","按工人与等级提供医疗",IF(D18="security","按工人与等级提供治安","按当前参数计算")))</x:f>
        <x:v>按工人与等级提供治安</x:v>
      </x:c>
      <x:c r="M18" s="158" t="str">
        <x:f>IF(OR(F18&lt;0,G18&lt;0,H18&lt;0,I18&lt;=0,AND(K18="否",H18&lt;1)),"错误：等级/工人/范围/数值",IF(AND(OR(D18="beauty",D18="medical",D18="security"),E18&lt;&gt;"cell"),"错误：格子效果目标","通过"))</x:f>
        <x:v>通过</x:v>
      </x:c>
    </x:row>
    <x:row r="19">
      <x:c r="A19"/>
      <x:c r="B19"/>
      <x:c r="C19"/>
      <x:c r="D19"/>
      <x:c r="E19"/>
      <x:c r="F19"/>
      <x:c r="G19"/>
      <x:c r="H19"/>
      <x:c r="I19"/>
      <x:c r="J19"/>
      <x:c r="K19"/>
    </x:row>
    <x:row r="20">
      <x:c r="A20"/>
      <x:c r="B20"/>
      <x:c r="C20"/>
      <x:c r="D20"/>
      <x:c r="E20"/>
      <x:c r="F20"/>
      <x:c r="G20"/>
      <x:c r="H20"/>
      <x:c r="I20"/>
      <x:c r="J20"/>
      <x:c r="K20"/>
    </x:row>
    <x:row r="21">
      <x:c r="A21"/>
      <x:c r="B21"/>
      <x:c r="C21"/>
      <x:c r="D21"/>
      <x:c r="E21"/>
      <x:c r="F21"/>
      <x:c r="G21"/>
      <x:c r="H21"/>
      <x:c r="I21"/>
      <x:c r="J21"/>
      <x:c r="K21"/>
    </x:row>
    <x:row r="22">
      <x:c r="A22"/>
      <x:c r="B22"/>
      <x:c r="C22"/>
      <x:c r="D22"/>
      <x:c r="E22"/>
      <x:c r="F22"/>
      <x:c r="G22"/>
      <x:c r="H22"/>
      <x:c r="I22"/>
      <x:c r="J22"/>
      <x:c r="K22"/>
    </x:row>
    <x:row r="23">
      <x:c r="A23"/>
      <x:c r="B23"/>
      <x:c r="C23"/>
      <x:c r="D23"/>
      <x:c r="E23"/>
      <x:c r="F23"/>
      <x:c r="G23"/>
      <x:c r="H23"/>
      <x:c r="I23"/>
      <x:c r="J23"/>
      <x:c r="K23"/>
    </x:row>
    <x:row r="24">
      <x:c r="A24"/>
      <x:c r="B24"/>
      <x:c r="C24"/>
      <x:c r="D24"/>
      <x:c r="E24"/>
      <x:c r="F24"/>
      <x:c r="G24"/>
      <x:c r="H24"/>
      <x:c r="I24"/>
      <x:c r="J24"/>
      <x:c r="K24"/>
    </x:row>
  </x:sheetData>
  <x:mergeCells>
    <x:mergeCell ref="A1:M1"/>
    <x:mergeCell ref="A2:M2"/>
  </x:mergeCells>
  <x:conditionalFormatting sqref="K5:K24">
    <x:cfRule type="containsText" dxfId="0" priority="1" operator="between" text="通过">
      <x:formula>NOT(ISERROR(SEARCH("通过",K5)))</x:formula>
    </x:cfRule>
    <x:cfRule type="containsText" dxfId="1" priority="2" operator="between" text="待">
      <x:formula>NOT(ISERROR(SEARCH("待",K5)))</x:formula>
    </x:cfRule>
    <x:cfRule type="containsText" dxfId="2" priority="3" operator="between" text="错误">
      <x:formula>NOT(ISERROR(SEARCH("错误",K5)))</x:formula>
    </x:cfRule>
  </x:conditionalFormatting>
  <x:dataValidations count="9">
    <x:dataValidation type="list" allowBlank="0" showDropDown="0" showInputMessage="0" showErrorMessage="0" sqref="A5:A24">
      <x:formula1>"building.player_home,building.residential_house,building.lumber_cabin,building.fishing_hut,building.farm_field,building.market,building.warehouse,building.road,building.tree"</x:formula1>
    </x:dataValidation>
    <x:dataValidation type="list" allowBlank="0" showDropDown="0" showInputMessage="0" showErrorMessage="0" sqref="D5:D24">
      <x:formula1>"beauty,production_percent"</x:formula1>
    </x:dataValidation>
    <x:dataValidation type="list" allowBlank="0" showDropDown="0" showInputMessage="0" showErrorMessage="0" sqref="E5:E24">
      <x:formula1>"cell,any_building,farmland"</x:formula1>
    </x:dataValidation>
    <x:dataValidation type="list" allowBlank="0" showDropDown="0" showInputMessage="0" showErrorMessage="0" sqref="H5:H24">
      <x:formula1>"additive,no_stack,highest_value"</x:formula1>
    </x:dataValidation>
    <x:dataValidation type="list" allowBlank="0" showDropDown="0" showInputMessage="0" showErrorMessage="0" sqref="I5:I24">
      <x:formula1>"是,否"</x:formula1>
    </x:dataValidation>
    <x:dataValidation type="list" sqref="D5:D200">
      <x:formula1>"beauty,medical,security,production_percent"</x:formula1>
    </x:dataValidation>
    <x:dataValidation type="list" sqref="E5:E200">
      <x:formula1>"cell,any_building,farmland"</x:formula1>
    </x:dataValidation>
    <x:dataValidation type="list" sqref="J5:J200">
      <x:formula1>"highest_value,no_stack,additive"</x:formula1>
    </x:dataValidation>
    <x:dataValidation type="list" sqref="K5:K200">
      <x:formula1>"否,是"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e4c221c49342bf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2" width="24" style="42" customWidth="1"/>
    <x:col min="3" max="3" width="18" style="42" customWidth="1"/>
    <x:col min="4" max="4" width="12" style="42" customWidth="1"/>
    <x:col min="5" max="5" width="42" style="42" customWidth="1"/>
  </x:cols>
  <x:sheetData>
    <x:row r="1" s="42" customFormat="1" ht="30" customHeight="1">
      <x:c r="A1" s="1" t="inlineStr">
        <x:is>
          <x:t xml:space="preserve">模块默认值：作物定义</x:t>
        </x:is>
      </x:c>
    </x:row>
    <x:row r="2" s="42" customFormat="1" ht="38" customHeight="1">
      <x:c r="A2" s="2" t="inlineStr">
        <x:is>
          <x:t xml:space="preserve">当前项目作物列表尚未配置。新增时一行一个 FamilyId + CropId；图标继续在 Unity 中按 CropId 维护，导入不会覆盖。</x:t>
        </x:is>
      </x:c>
    </x:row>
    <x:row r="3">
      <x:c r="A3" s="3" t="n"/>
      <x:c r="B3" s="3" t="n"/>
      <x:c r="C3" s="3" t="n"/>
      <x:c r="D3" s="3" t="n"/>
      <x:c r="E3" s="3" t="n"/>
    </x:row>
    <x:row r="4" s="42" customFormat="1" ht="30" customHeight="1">
      <x:c r="A4" s="4" t="inlineStr">
        <x:is>
          <x:t xml:space="preserve">FamilyId</x:t>
        </x:is>
      </x:c>
      <x:c r="B4" s="5" t="inlineStr">
        <x:is>
          <x:t xml:space="preserve">CropId</x:t>
        </x:is>
      </x:c>
      <x:c r="C4" s="5" t="inlineStr">
        <x:is>
          <x:t xml:space="preserve">显示名</x:t>
        </x:is>
      </x:c>
      <x:c r="D4" s="5" t="inlineStr">
        <x:is>
          <x:t xml:space="preserve">成熟回合</x:t>
        </x:is>
      </x:c>
      <x:c r="E4" s="6" t="inlineStr">
        <x:is>
          <x:t xml:space="preserve">说明</x:t>
        </x:is>
      </x:c>
    </x:row>
    <x:row r="5">
      <x:c r="A5" s="3" t="n"/>
      <x:c r="B5" s="3" t="n"/>
      <x:c r="C5" s="3" t="n"/>
      <x:c r="D5" s="15" t="n"/>
      <x:c r="E5" s="3" t="n"/>
    </x:row>
    <x:row r="6">
      <x:c r="A6" s="3" t="n"/>
      <x:c r="B6" s="3" t="n"/>
      <x:c r="C6" s="3" t="n"/>
      <x:c r="D6" s="15" t="n"/>
      <x:c r="E6" s="3" t="n"/>
    </x:row>
    <x:row r="7">
      <x:c r="A7" s="3" t="n"/>
      <x:c r="B7" s="3" t="n"/>
      <x:c r="C7" s="3" t="n"/>
      <x:c r="D7" s="15" t="n"/>
      <x:c r="E7" s="3" t="n"/>
    </x:row>
    <x:row r="8">
      <x:c r="A8" s="3" t="n"/>
      <x:c r="B8" s="3" t="n"/>
      <x:c r="C8" s="3" t="n"/>
      <x:c r="D8" s="15" t="n"/>
      <x:c r="E8" s="3" t="n"/>
    </x:row>
    <x:row r="9">
      <x:c r="A9" s="3" t="n"/>
      <x:c r="B9" s="3" t="n"/>
      <x:c r="C9" s="3" t="n"/>
      <x:c r="D9" s="15" t="n"/>
      <x:c r="E9" s="3" t="n"/>
    </x:row>
    <x:row r="10">
      <x:c r="A10" s="3" t="n"/>
      <x:c r="B10" s="3" t="n"/>
      <x:c r="C10" s="3" t="n"/>
      <x:c r="D10" s="15" t="n"/>
      <x:c r="E10" s="3" t="n"/>
    </x:row>
    <x:row r="11">
      <x:c r="A11" s="3" t="n"/>
      <x:c r="B11" s="3" t="n"/>
      <x:c r="C11" s="3" t="n"/>
      <x:c r="D11" s="15" t="n"/>
      <x:c r="E11" s="3" t="n"/>
    </x:row>
    <x:row r="12">
      <x:c r="A12" s="3" t="n"/>
      <x:c r="B12" s="3" t="n"/>
      <x:c r="C12" s="3" t="n"/>
      <x:c r="D12" s="15" t="n"/>
      <x:c r="E12" s="3" t="n"/>
    </x:row>
    <x:row r="13">
      <x:c r="A13" s="3" t="n"/>
      <x:c r="B13" s="3" t="n"/>
      <x:c r="C13" s="3" t="n"/>
      <x:c r="D13" s="15" t="n"/>
      <x:c r="E13" s="3" t="n"/>
    </x:row>
    <x:row r="14">
      <x:c r="A14" s="3" t="n"/>
      <x:c r="B14" s="3" t="n"/>
      <x:c r="C14" s="3" t="n"/>
      <x:c r="D14" s="15" t="n"/>
      <x:c r="E14" s="3" t="n"/>
    </x:row>
    <x:row r="15">
      <x:c r="A15" s="3" t="n"/>
      <x:c r="B15" s="3" t="n"/>
      <x:c r="C15" s="3" t="n"/>
      <x:c r="D15" s="15" t="n"/>
      <x:c r="E15" s="3" t="n"/>
    </x:row>
    <x:row r="16">
      <x:c r="A16" s="3" t="n"/>
      <x:c r="B16" s="3" t="n"/>
      <x:c r="C16" s="3" t="n"/>
      <x:c r="D16" s="15" t="n"/>
      <x:c r="E16" s="3" t="n"/>
    </x:row>
    <x:row r="17">
      <x:c r="A17" s="3" t="n"/>
      <x:c r="B17" s="3" t="n"/>
      <x:c r="C17" s="3" t="n"/>
      <x:c r="D17" s="15" t="n"/>
      <x:c r="E17" s="3" t="n"/>
    </x:row>
    <x:row r="18">
      <x:c r="A18" s="3" t="n"/>
      <x:c r="B18" s="3" t="n"/>
      <x:c r="C18" s="3" t="n"/>
      <x:c r="D18" s="15" t="n"/>
      <x:c r="E18" s="3" t="n"/>
    </x:row>
    <x:row r="19">
      <x:c r="A19" s="3" t="n"/>
      <x:c r="B19" s="3" t="n"/>
      <x:c r="C19" s="3" t="n"/>
      <x:c r="D19" s="15" t="n"/>
      <x:c r="E19" s="3" t="n"/>
    </x:row>
    <x:row r="20">
      <x:c r="A20" s="3" t="n"/>
      <x:c r="B20" s="3" t="n"/>
      <x:c r="C20" s="3" t="n"/>
      <x:c r="D20" s="15" t="n"/>
      <x:c r="E20" s="3" t="n"/>
    </x:row>
    <x:row r="21">
      <x:c r="A21" s="3" t="n"/>
      <x:c r="B21" s="3" t="n"/>
      <x:c r="C21" s="3" t="n"/>
      <x:c r="D21" s="15" t="n"/>
      <x:c r="E21" s="3" t="n"/>
    </x:row>
    <x:row r="22">
      <x:c r="A22" s="3" t="n"/>
      <x:c r="B22" s="3" t="n"/>
      <x:c r="C22" s="3" t="n"/>
      <x:c r="D22" s="15" t="n"/>
      <x:c r="E22" s="3" t="n"/>
    </x:row>
    <x:row r="23">
      <x:c r="A23" s="3" t="n"/>
      <x:c r="B23" s="3" t="n"/>
      <x:c r="C23" s="3" t="n"/>
      <x:c r="D23" s="15" t="n"/>
      <x:c r="E23" s="3" t="n"/>
    </x:row>
    <x:row r="24">
      <x:c r="A24" s="3" t="n"/>
      <x:c r="B24" s="3" t="n"/>
      <x:c r="C24" s="3" t="n"/>
      <x:c r="D24" s="15" t="n"/>
      <x:c r="E24" s="3" t="n"/>
    </x:row>
  </x:sheetData>
  <x:mergeCells>
    <x:mergeCell ref="A2:E2"/>
    <x:mergeCell ref="A1:E1"/>
  </x:mergeCells>
  <x:dataValidations count="1">
    <x:dataValidation type="list" allowBlank="0" showDropDown="0" showInputMessage="0" showErrorMessage="0" sqref="A5:A24">
      <x:formula1>"building.player_home,building.residential_house,building.lumber_cabin,building.fishing_hut,building.farm_field,building.market,building.warehouse,building.road,building.tree"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2" width="24" style="42" customWidth="1"/>
    <x:col min="3" max="3" width="16" style="42" customWidth="1"/>
    <x:col min="4" max="4" width="10" style="42" customWidth="1"/>
    <x:col min="5" max="5" width="38" style="42" customWidth="1"/>
  </x:cols>
  <x:sheetData>
    <x:row r="1" s="42" customFormat="1" ht="30" customHeight="1">
      <x:c r="A1" s="1" t="inlineStr">
        <x:is>
          <x:t xml:space="preserve">作物：种植消耗</x:t>
        </x:is>
      </x:c>
    </x:row>
    <x:row r="2" s="42" customFormat="1" ht="38" customHeight="1">
      <x:c r="A2" s="2" t="inlineStr">
        <x:is>
          <x:t xml:space="preserve">引用模块_作物中的 FamilyId + CropId。一行一种 ItemId；无消耗不写行。</x:t>
        </x:is>
      </x:c>
    </x:row>
    <x:row r="3">
      <x:c r="A3" s="3" t="n"/>
      <x:c r="B3" s="3" t="n"/>
      <x:c r="C3" s="3" t="n"/>
      <x:c r="D3" s="3" t="n"/>
      <x:c r="E3" s="3" t="n"/>
    </x:row>
    <x:row r="4" s="42" customFormat="1" ht="30" customHeight="1">
      <x:c r="A4" s="4" t="inlineStr">
        <x:is>
          <x:t xml:space="preserve">FamilyId</x:t>
        </x:is>
      </x:c>
      <x:c r="B4" s="5" t="inlineStr">
        <x:is>
          <x:t xml:space="preserve">CropId</x:t>
        </x:is>
      </x:c>
      <x:c r="C4" s="5" t="inlineStr">
        <x:is>
          <x:t xml:space="preserve">ItemId</x:t>
        </x:is>
      </x:c>
      <x:c r="D4" s="5" t="inlineStr">
        <x:is>
          <x:t xml:space="preserve">数量</x:t>
        </x:is>
      </x:c>
      <x:c r="E4" s="6" t="inlineStr">
        <x:is>
          <x:t xml:space="preserve">说明</x:t>
        </x:is>
      </x:c>
    </x:row>
    <x:row r="5">
      <x:c r="A5" s="3" t="n"/>
      <x:c r="B5" s="3" t="n"/>
      <x:c r="C5" s="3" t="n"/>
      <x:c r="D5" s="15" t="n"/>
      <x:c r="E5" s="3" t="n"/>
    </x:row>
    <x:row r="6">
      <x:c r="A6" s="3" t="n"/>
      <x:c r="B6" s="3" t="n"/>
      <x:c r="C6" s="3" t="n"/>
      <x:c r="D6" s="15" t="n"/>
      <x:c r="E6" s="3" t="n"/>
    </x:row>
    <x:row r="7">
      <x:c r="A7" s="3" t="n"/>
      <x:c r="B7" s="3" t="n"/>
      <x:c r="C7" s="3" t="n"/>
      <x:c r="D7" s="15" t="n"/>
      <x:c r="E7" s="3" t="n"/>
    </x:row>
    <x:row r="8">
      <x:c r="A8" s="3" t="n"/>
      <x:c r="B8" s="3" t="n"/>
      <x:c r="C8" s="3" t="n"/>
      <x:c r="D8" s="15" t="n"/>
      <x:c r="E8" s="3" t="n"/>
    </x:row>
    <x:row r="9">
      <x:c r="A9" s="3" t="n"/>
      <x:c r="B9" s="3" t="n"/>
      <x:c r="C9" s="3" t="n"/>
      <x:c r="D9" s="15" t="n"/>
      <x:c r="E9" s="3" t="n"/>
    </x:row>
    <x:row r="10">
      <x:c r="A10" s="3" t="n"/>
      <x:c r="B10" s="3" t="n"/>
      <x:c r="C10" s="3" t="n"/>
      <x:c r="D10" s="15" t="n"/>
      <x:c r="E10" s="3" t="n"/>
    </x:row>
    <x:row r="11">
      <x:c r="A11" s="3" t="n"/>
      <x:c r="B11" s="3" t="n"/>
      <x:c r="C11" s="3" t="n"/>
      <x:c r="D11" s="15" t="n"/>
      <x:c r="E11" s="3" t="n"/>
    </x:row>
    <x:row r="12">
      <x:c r="A12" s="3" t="n"/>
      <x:c r="B12" s="3" t="n"/>
      <x:c r="C12" s="3" t="n"/>
      <x:c r="D12" s="15" t="n"/>
      <x:c r="E12" s="3" t="n"/>
    </x:row>
    <x:row r="13">
      <x:c r="A13" s="3" t="n"/>
      <x:c r="B13" s="3" t="n"/>
      <x:c r="C13" s="3" t="n"/>
      <x:c r="D13" s="15" t="n"/>
      <x:c r="E13" s="3" t="n"/>
    </x:row>
    <x:row r="14">
      <x:c r="A14" s="3" t="n"/>
      <x:c r="B14" s="3" t="n"/>
      <x:c r="C14" s="3" t="n"/>
      <x:c r="D14" s="15" t="n"/>
      <x:c r="E14" s="3" t="n"/>
    </x:row>
    <x:row r="15">
      <x:c r="A15" s="3" t="n"/>
      <x:c r="B15" s="3" t="n"/>
      <x:c r="C15" s="3" t="n"/>
      <x:c r="D15" s="15" t="n"/>
      <x:c r="E15" s="3" t="n"/>
    </x:row>
    <x:row r="16">
      <x:c r="A16" s="3" t="n"/>
      <x:c r="B16" s="3" t="n"/>
      <x:c r="C16" s="3" t="n"/>
      <x:c r="D16" s="15" t="n"/>
      <x:c r="E16" s="3" t="n"/>
    </x:row>
    <x:row r="17">
      <x:c r="A17" s="3" t="n"/>
      <x:c r="B17" s="3" t="n"/>
      <x:c r="C17" s="3" t="n"/>
      <x:c r="D17" s="15" t="n"/>
      <x:c r="E17" s="3" t="n"/>
    </x:row>
    <x:row r="18">
      <x:c r="A18" s="3" t="n"/>
      <x:c r="B18" s="3" t="n"/>
      <x:c r="C18" s="3" t="n"/>
      <x:c r="D18" s="15" t="n"/>
      <x:c r="E18" s="3" t="n"/>
    </x:row>
    <x:row r="19">
      <x:c r="A19" s="3" t="n"/>
      <x:c r="B19" s="3" t="n"/>
      <x:c r="C19" s="3" t="n"/>
      <x:c r="D19" s="15" t="n"/>
      <x:c r="E19" s="3" t="n"/>
    </x:row>
    <x:row r="20">
      <x:c r="A20" s="3" t="n"/>
      <x:c r="B20" s="3" t="n"/>
      <x:c r="C20" s="3" t="n"/>
      <x:c r="D20" s="15" t="n"/>
      <x:c r="E20" s="3" t="n"/>
    </x:row>
    <x:row r="21">
      <x:c r="A21" s="3" t="n"/>
      <x:c r="B21" s="3" t="n"/>
      <x:c r="C21" s="3" t="n"/>
      <x:c r="D21" s="15" t="n"/>
      <x:c r="E21" s="3" t="n"/>
    </x:row>
    <x:row r="22">
      <x:c r="A22" s="3" t="n"/>
      <x:c r="B22" s="3" t="n"/>
      <x:c r="C22" s="3" t="n"/>
      <x:c r="D22" s="15" t="n"/>
      <x:c r="E22" s="3" t="n"/>
    </x:row>
    <x:row r="23">
      <x:c r="A23" s="3" t="n"/>
      <x:c r="B23" s="3" t="n"/>
      <x:c r="C23" s="3" t="n"/>
      <x:c r="D23" s="15" t="n"/>
      <x:c r="E23" s="3" t="n"/>
    </x:row>
    <x:row r="24">
      <x:c r="A24" s="3" t="n"/>
      <x:c r="B24" s="3" t="n"/>
      <x:c r="C24" s="3" t="n"/>
      <x:c r="D24" s="15" t="n"/>
      <x:c r="E24" s="3" t="n"/>
    </x:row>
  </x:sheetData>
  <x:mergeCells>
    <x:mergeCell ref="A2:E2"/>
    <x:mergeCell ref="A1:E1"/>
  </x:mergeCells>
  <x:dataValidations count="2">
    <x:dataValidation type="list" allowBlank="0" showDropDown="0" showInputMessage="0" showErrorMessage="0" sqref="A5:A24">
      <x:formula1>"building.player_home,building.residential_house,building.lumber_cabin,building.fishing_hut,building.farm_field,building.market,building.warehouse,building.road,building.tree"</x:formula1>
    </x:dataValidation>
    <x:dataValidation type="list" allowBlank="0" showDropDown="0" showInputMessage="0" showErrorMessage="0" sqref="C5:C24">
      <x:formula1>"金币,泥土,石头,原木,木板,树苗,蔬菜,鱼,黄金鱼"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2" width="24" style="42" customWidth="1"/>
    <x:col min="3" max="3" width="16" style="42" customWidth="1"/>
    <x:col min="4" max="5" width="12" style="42" customWidth="1"/>
    <x:col min="6" max="6" width="38" style="42" customWidth="1"/>
  </x:cols>
  <x:sheetData>
    <x:row r="1" s="42" customFormat="1" ht="30" customHeight="1">
      <x:c r="A1" s="1" t="inlineStr">
        <x:is>
          <x:t xml:space="preserve">作物：收获产出</x:t>
        </x:is>
      </x:c>
    </x:row>
    <x:row r="2" s="42" customFormat="1" ht="38" customHeight="1">
      <x:c r="A2" s="2" t="inlineStr">
        <x:is>
          <x:t xml:space="preserve">引用模块_作物中的 FamilyId + CropId。一行一种 ItemId，最小/最大数量形成随机区间。</x:t>
        </x:is>
      </x:c>
    </x:row>
    <x:row r="3">
      <x:c r="A3" s="3" t="n"/>
      <x:c r="B3" s="3" t="n"/>
      <x:c r="C3" s="3" t="n"/>
      <x:c r="D3" s="3" t="n"/>
      <x:c r="E3" s="3" t="n"/>
      <x:c r="F3" s="3" t="n"/>
    </x:row>
    <x:row r="4" s="42" customFormat="1" ht="30" customHeight="1">
      <x:c r="A4" s="4" t="inlineStr">
        <x:is>
          <x:t xml:space="preserve">FamilyId</x:t>
        </x:is>
      </x:c>
      <x:c r="B4" s="5" t="inlineStr">
        <x:is>
          <x:t xml:space="preserve">CropId</x:t>
        </x:is>
      </x:c>
      <x:c r="C4" s="5" t="inlineStr">
        <x:is>
          <x:t xml:space="preserve">ItemId</x:t>
        </x:is>
      </x:c>
      <x:c r="D4" s="5" t="inlineStr">
        <x:is>
          <x:t xml:space="preserve">最小数量</x:t>
        </x:is>
      </x:c>
      <x:c r="E4" s="5" t="inlineStr">
        <x:is>
          <x:t xml:space="preserve">最大数量</x:t>
        </x:is>
      </x:c>
      <x:c r="F4" s="6" t="inlineStr">
        <x:is>
          <x:t xml:space="preserve">说明</x:t>
        </x:is>
      </x:c>
    </x:row>
    <x:row r="5">
      <x:c r="A5" s="3" t="n"/>
      <x:c r="B5" s="3" t="n"/>
      <x:c r="C5" s="3" t="n"/>
      <x:c r="D5" s="15" t="n"/>
      <x:c r="E5" s="15" t="n"/>
      <x:c r="F5" s="3" t="n"/>
    </x:row>
    <x:row r="6">
      <x:c r="A6" s="3" t="n"/>
      <x:c r="B6" s="3" t="n"/>
      <x:c r="C6" s="3" t="n"/>
      <x:c r="D6" s="15" t="n"/>
      <x:c r="E6" s="15" t="n"/>
      <x:c r="F6" s="3" t="n"/>
    </x:row>
    <x:row r="7">
      <x:c r="A7" s="3" t="n"/>
      <x:c r="B7" s="3" t="n"/>
      <x:c r="C7" s="3" t="n"/>
      <x:c r="D7" s="15" t="n"/>
      <x:c r="E7" s="15" t="n"/>
      <x:c r="F7" s="3" t="n"/>
    </x:row>
    <x:row r="8">
      <x:c r="A8" s="3" t="n"/>
      <x:c r="B8" s="3" t="n"/>
      <x:c r="C8" s="3" t="n"/>
      <x:c r="D8" s="15" t="n"/>
      <x:c r="E8" s="15" t="n"/>
      <x:c r="F8" s="3" t="n"/>
    </x:row>
    <x:row r="9">
      <x:c r="A9" s="3" t="n"/>
      <x:c r="B9" s="3" t="n"/>
      <x:c r="C9" s="3" t="n"/>
      <x:c r="D9" s="15" t="n"/>
      <x:c r="E9" s="15" t="n"/>
      <x:c r="F9" s="3" t="n"/>
    </x:row>
    <x:row r="10">
      <x:c r="A10" s="3" t="n"/>
      <x:c r="B10" s="3" t="n"/>
      <x:c r="C10" s="3" t="n"/>
      <x:c r="D10" s="15" t="n"/>
      <x:c r="E10" s="15" t="n"/>
      <x:c r="F10" s="3" t="n"/>
    </x:row>
    <x:row r="11">
      <x:c r="A11" s="3" t="n"/>
      <x:c r="B11" s="3" t="n"/>
      <x:c r="C11" s="3" t="n"/>
      <x:c r="D11" s="15" t="n"/>
      <x:c r="E11" s="15" t="n"/>
      <x:c r="F11" s="3" t="n"/>
    </x:row>
    <x:row r="12">
      <x:c r="A12" s="3" t="n"/>
      <x:c r="B12" s="3" t="n"/>
      <x:c r="C12" s="3" t="n"/>
      <x:c r="D12" s="15" t="n"/>
      <x:c r="E12" s="15" t="n"/>
      <x:c r="F12" s="3" t="n"/>
    </x:row>
    <x:row r="13">
      <x:c r="A13" s="3" t="n"/>
      <x:c r="B13" s="3" t="n"/>
      <x:c r="C13" s="3" t="n"/>
      <x:c r="D13" s="15" t="n"/>
      <x:c r="E13" s="15" t="n"/>
      <x:c r="F13" s="3" t="n"/>
    </x:row>
    <x:row r="14">
      <x:c r="A14" s="3" t="n"/>
      <x:c r="B14" s="3" t="n"/>
      <x:c r="C14" s="3" t="n"/>
      <x:c r="D14" s="15" t="n"/>
      <x:c r="E14" s="15" t="n"/>
      <x:c r="F14" s="3" t="n"/>
    </x:row>
    <x:row r="15">
      <x:c r="A15" s="3" t="n"/>
      <x:c r="B15" s="3" t="n"/>
      <x:c r="C15" s="3" t="n"/>
      <x:c r="D15" s="15" t="n"/>
      <x:c r="E15" s="15" t="n"/>
      <x:c r="F15" s="3" t="n"/>
    </x:row>
    <x:row r="16">
      <x:c r="A16" s="3" t="n"/>
      <x:c r="B16" s="3" t="n"/>
      <x:c r="C16" s="3" t="n"/>
      <x:c r="D16" s="15" t="n"/>
      <x:c r="E16" s="15" t="n"/>
      <x:c r="F16" s="3" t="n"/>
    </x:row>
    <x:row r="17">
      <x:c r="A17" s="3" t="n"/>
      <x:c r="B17" s="3" t="n"/>
      <x:c r="C17" s="3" t="n"/>
      <x:c r="D17" s="15" t="n"/>
      <x:c r="E17" s="15" t="n"/>
      <x:c r="F17" s="3" t="n"/>
    </x:row>
    <x:row r="18">
      <x:c r="A18" s="3" t="n"/>
      <x:c r="B18" s="3" t="n"/>
      <x:c r="C18" s="3" t="n"/>
      <x:c r="D18" s="15" t="n"/>
      <x:c r="E18" s="15" t="n"/>
      <x:c r="F18" s="3" t="n"/>
    </x:row>
    <x:row r="19">
      <x:c r="A19" s="3" t="n"/>
      <x:c r="B19" s="3" t="n"/>
      <x:c r="C19" s="3" t="n"/>
      <x:c r="D19" s="15" t="n"/>
      <x:c r="E19" s="15" t="n"/>
      <x:c r="F19" s="3" t="n"/>
    </x:row>
    <x:row r="20">
      <x:c r="A20" s="3" t="n"/>
      <x:c r="B20" s="3" t="n"/>
      <x:c r="C20" s="3" t="n"/>
      <x:c r="D20" s="15" t="n"/>
      <x:c r="E20" s="15" t="n"/>
      <x:c r="F20" s="3" t="n"/>
    </x:row>
    <x:row r="21">
      <x:c r="A21" s="3" t="n"/>
      <x:c r="B21" s="3" t="n"/>
      <x:c r="C21" s="3" t="n"/>
      <x:c r="D21" s="15" t="n"/>
      <x:c r="E21" s="15" t="n"/>
      <x:c r="F21" s="3" t="n"/>
    </x:row>
    <x:row r="22">
      <x:c r="A22" s="3" t="n"/>
      <x:c r="B22" s="3" t="n"/>
      <x:c r="C22" s="3" t="n"/>
      <x:c r="D22" s="15" t="n"/>
      <x:c r="E22" s="15" t="n"/>
      <x:c r="F22" s="3" t="n"/>
    </x:row>
    <x:row r="23">
      <x:c r="A23" s="3" t="n"/>
      <x:c r="B23" s="3" t="n"/>
      <x:c r="C23" s="3" t="n"/>
      <x:c r="D23" s="15" t="n"/>
      <x:c r="E23" s="15" t="n"/>
      <x:c r="F23" s="3" t="n"/>
    </x:row>
    <x:row r="24">
      <x:c r="A24" s="3" t="n"/>
      <x:c r="B24" s="3" t="n"/>
      <x:c r="C24" s="3" t="n"/>
      <x:c r="D24" s="15" t="n"/>
      <x:c r="E24" s="15" t="n"/>
      <x:c r="F24" s="3" t="n"/>
    </x:row>
  </x:sheetData>
  <x:mergeCells>
    <x:mergeCell ref="A2:F2"/>
    <x:mergeCell ref="A1:F1"/>
  </x:mergeCells>
  <x:dataValidations count="2">
    <x:dataValidation type="list" allowBlank="0" showDropDown="0" showInputMessage="0" showErrorMessage="0" sqref="A5:A24">
      <x:formula1>"building.player_home,building.residential_house,building.lumber_cabin,building.fishing_hut,building.farm_field,building.market,building.warehouse,building.road,building.tree"</x:formula1>
    </x:dataValidation>
    <x:dataValidation type="list" allowBlank="0" showDropDown="0" showInputMessage="0" showErrorMessage="0" sqref="C5:C24">
      <x:formula1>"金币,泥土,石头,原木,木板,树苗,蔬菜,鱼,黄金鱼"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2" width="16" style="42" customWidth="1"/>
    <x:col min="3" max="3" width="10" style="42" customWidth="1"/>
    <x:col min="4" max="4" width="44" style="42" customWidth="1"/>
  </x:cols>
  <x:sheetData>
    <x:row r="1" s="42" customFormat="1" ht="30" customHeight="1">
      <x:c r="A1" s="1" t="inlineStr">
        <x:is>
          <x:t xml:space="preserve">作物：自动收获消耗</x:t>
        </x:is>
      </x:c>
    </x:row>
    <x:row r="2" s="42" customFormat="1" ht="38" customHeight="1">
      <x:c r="A2" s="2" t="inlineStr">
        <x:is>
          <x:t xml:space="preserve">模块级自动收获费用，一行一种 ItemId；无费用不写行。</x:t>
        </x:is>
      </x:c>
    </x:row>
    <x:row r="3">
      <x:c r="A3" s="3" t="n"/>
      <x:c r="B3" s="3" t="n"/>
      <x:c r="C3" s="3" t="n"/>
      <x:c r="D3" s="3" t="n"/>
    </x:row>
    <x:row r="4" s="42" customFormat="1" ht="30" customHeight="1">
      <x:c r="A4" s="4" t="inlineStr">
        <x:is>
          <x:t xml:space="preserve">FamilyId</x:t>
        </x:is>
      </x:c>
      <x:c r="B4" s="5" t="inlineStr">
        <x:is>
          <x:t xml:space="preserve">ItemId</x:t>
        </x:is>
      </x:c>
      <x:c r="C4" s="5" t="inlineStr">
        <x:is>
          <x:t xml:space="preserve">数量</x:t>
        </x:is>
      </x:c>
      <x:c r="D4" s="6" t="inlineStr">
        <x:is>
          <x:t xml:space="preserve">说明</x:t>
        </x:is>
      </x:c>
    </x:row>
    <x:row r="5">
      <x:c r="A5" s="3" t="n"/>
      <x:c r="B5" s="3" t="n"/>
      <x:c r="C5" s="15" t="n"/>
      <x:c r="D5" s="3" t="n"/>
    </x:row>
    <x:row r="6">
      <x:c r="A6" s="3" t="n"/>
      <x:c r="B6" s="3" t="n"/>
      <x:c r="C6" s="15" t="n"/>
      <x:c r="D6" s="3" t="n"/>
    </x:row>
    <x:row r="7">
      <x:c r="A7" s="3" t="n"/>
      <x:c r="B7" s="3" t="n"/>
      <x:c r="C7" s="15" t="n"/>
      <x:c r="D7" s="3" t="n"/>
    </x:row>
    <x:row r="8">
      <x:c r="A8" s="3" t="n"/>
      <x:c r="B8" s="3" t="n"/>
      <x:c r="C8" s="15" t="n"/>
      <x:c r="D8" s="3" t="n"/>
    </x:row>
    <x:row r="9">
      <x:c r="A9" s="3" t="n"/>
      <x:c r="B9" s="3" t="n"/>
      <x:c r="C9" s="15" t="n"/>
      <x:c r="D9" s="3" t="n"/>
    </x:row>
    <x:row r="10">
      <x:c r="A10" s="3" t="n"/>
      <x:c r="B10" s="3" t="n"/>
      <x:c r="C10" s="15" t="n"/>
      <x:c r="D10" s="3" t="n"/>
    </x:row>
    <x:row r="11">
      <x:c r="A11" s="3" t="n"/>
      <x:c r="B11" s="3" t="n"/>
      <x:c r="C11" s="15" t="n"/>
      <x:c r="D11" s="3" t="n"/>
    </x:row>
    <x:row r="12">
      <x:c r="A12" s="3" t="n"/>
      <x:c r="B12" s="3" t="n"/>
      <x:c r="C12" s="15" t="n"/>
      <x:c r="D12" s="3" t="n"/>
    </x:row>
    <x:row r="13">
      <x:c r="A13" s="3" t="n"/>
      <x:c r="B13" s="3" t="n"/>
      <x:c r="C13" s="15" t="n"/>
      <x:c r="D13" s="3" t="n"/>
    </x:row>
    <x:row r="14">
      <x:c r="A14" s="3" t="n"/>
      <x:c r="B14" s="3" t="n"/>
      <x:c r="C14" s="15" t="n"/>
      <x:c r="D14" s="3" t="n"/>
    </x:row>
    <x:row r="15">
      <x:c r="A15" s="3" t="n"/>
      <x:c r="B15" s="3" t="n"/>
      <x:c r="C15" s="15" t="n"/>
      <x:c r="D15" s="3" t="n"/>
    </x:row>
    <x:row r="16">
      <x:c r="A16" s="3" t="n"/>
      <x:c r="B16" s="3" t="n"/>
      <x:c r="C16" s="15" t="n"/>
      <x:c r="D16" s="3" t="n"/>
    </x:row>
    <x:row r="17">
      <x:c r="A17" s="3" t="n"/>
      <x:c r="B17" s="3" t="n"/>
      <x:c r="C17" s="15" t="n"/>
      <x:c r="D17" s="3" t="n"/>
    </x:row>
    <x:row r="18">
      <x:c r="A18" s="3" t="n"/>
      <x:c r="B18" s="3" t="n"/>
      <x:c r="C18" s="15" t="n"/>
      <x:c r="D18" s="3" t="n"/>
    </x:row>
    <x:row r="19">
      <x:c r="A19" s="3" t="n"/>
      <x:c r="B19" s="3" t="n"/>
      <x:c r="C19" s="15" t="n"/>
      <x:c r="D19" s="3" t="n"/>
    </x:row>
    <x:row r="20">
      <x:c r="A20" s="3" t="n"/>
      <x:c r="B20" s="3" t="n"/>
      <x:c r="C20" s="15" t="n"/>
      <x:c r="D20" s="3" t="n"/>
    </x:row>
    <x:row r="21">
      <x:c r="A21" s="3" t="n"/>
      <x:c r="B21" s="3" t="n"/>
      <x:c r="C21" s="15" t="n"/>
      <x:c r="D21" s="3" t="n"/>
    </x:row>
    <x:row r="22">
      <x:c r="A22" s="3" t="n"/>
      <x:c r="B22" s="3" t="n"/>
      <x:c r="C22" s="15" t="n"/>
      <x:c r="D22" s="3" t="n"/>
    </x:row>
    <x:row r="23">
      <x:c r="A23" s="3" t="n"/>
      <x:c r="B23" s="3" t="n"/>
      <x:c r="C23" s="15" t="n"/>
      <x:c r="D23" s="3" t="n"/>
    </x:row>
    <x:row r="24">
      <x:c r="A24" s="3" t="n"/>
      <x:c r="B24" s="3" t="n"/>
      <x:c r="C24" s="15" t="n"/>
      <x:c r="D24" s="3" t="n"/>
    </x:row>
  </x:sheetData>
  <x:mergeCells>
    <x:mergeCell ref="A1:D1"/>
    <x:mergeCell ref="A2:D2"/>
  </x:mergeCells>
  <x:dataValidations count="2">
    <x:dataValidation type="list" allowBlank="0" showDropDown="0" showInputMessage="0" showErrorMessage="0" sqref="A5:A24">
      <x:formula1>"building.player_home,building.residential_house,building.lumber_cabin,building.fishing_hut,building.farm_field,building.market,building.warehouse,building.road,building.tree"</x:formula1>
    </x:dataValidation>
    <x:dataValidation type="list" allowBlank="0" showDropDown="0" showInputMessage="0" showErrorMessage="0" sqref="B5:B24">
      <x:formula1>"金币,泥土,石头,原木,木板,树苗,蔬菜,鱼,黄金鱼"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2" width="15" style="42" customWidth="1"/>
    <x:col min="3" max="3" width="16" style="42" customWidth="1"/>
    <x:col min="4" max="4" width="44" style="42" customWidth="1"/>
    <x:col min="5" max="5" width="48" style="42" customWidth="1"/>
    <x:col min="6" max="6" width="14" style="42" customWidth="1"/>
  </x:cols>
  <x:sheetData>
    <x:row r="1" s="42" customFormat="1" ht="30" customHeight="1">
      <x:c r="A1" s="1" t="inlineStr">
        <x:is>
          <x:t xml:space="preserve">视觉 Style 回填清单（不参与导入）</x:t>
        </x:is>
      </x:c>
    </x:row>
    <x:row r="2" s="42" customFormat="1" ht="38" customHeight="1">
      <x:c r="A2" s="2" t="inlineStr">
        <x:is>
          <x:t xml:space="preserve">Style 不产生新建筑家族。此表仅帮助策划与美术跟踪菜单名称、Icon 和各等级 View；实际引用仍在 BuildingPresentationDefinition。</x:t>
        </x:is>
      </x:c>
    </x:row>
    <x:row r="3">
      <x:c r="A3" s="3" t="n"/>
      <x:c r="B3" s="3" t="n"/>
      <x:c r="C3" s="3" t="n"/>
      <x:c r="D3" s="3" t="n"/>
      <x:c r="E3" s="3" t="n"/>
      <x:c r="F3" s="3" t="n"/>
    </x:row>
    <x:row r="4" s="42" customFormat="1" ht="30" customHeight="1">
      <x:c r="A4" s="4" t="inlineStr">
        <x:is>
          <x:t xml:space="preserve">FamilyId</x:t>
        </x:is>
      </x:c>
      <x:c r="B4" s="5" t="inlineStr">
        <x:is>
          <x:t xml:space="preserve">StyleId</x:t>
        </x:is>
      </x:c>
      <x:c r="C4" s="5" t="inlineStr">
        <x:is>
          <x:t xml:space="preserve">菜单名称</x:t>
        </x:is>
      </x:c>
      <x:c r="D4" s="5" t="inlineStr">
        <x:is>
          <x:t xml:space="preserve">IconAssetPath</x:t>
        </x:is>
      </x:c>
      <x:c r="E4" s="5" t="inlineStr">
        <x:is>
          <x:t xml:space="preserve">LV1ViewAssetPath</x:t>
        </x:is>
      </x:c>
      <x:c r="F4" s="6" t="inlineStr">
        <x:is>
          <x:t xml:space="preserve">回填状态</x:t>
        </x:is>
      </x:c>
    </x:row>
    <x:row r="5">
      <x:c r="A5" s="7" t="inlineStr">
        <x:is>
          <x:t xml:space="preserve">building.tree</x:t>
        </x:is>
      </x:c>
      <x:c r="B5" s="7" t="inlineStr">
        <x:is>
          <x:t xml:space="preserve">tree_01</x:t>
        </x:is>
      </x:c>
      <x:c r="C5" s="7" t="inlineStr">
        <x:is>
          <x:t xml:space="preserve">树木 1</x:t>
        </x:is>
      </x:c>
      <x:c r="D5" s="7" t="inlineStr">
        <x:is>
          <x:t xml:space="preserve">Assets/Landsong/Art/Sprites/树木/树1.png</x:t>
        </x:is>
      </x:c>
      <x:c r="E5" s="7" t="inlineStr">
        <x:is>
          <x:t xml:space="preserve">Assets/Landsong/Objects/Prefabs/BuildingViews/树/树 (1).prefab</x:t>
        </x:is>
      </x:c>
      <x:c r="F5" s="10" t="str">
        <x:f>IF(OR(D5="",E5=""),"待回填","完整")</x:f>
        <x:v>完整</x:v>
      </x:c>
    </x:row>
    <x:row r="6">
      <x:c r="A6" s="11" t="inlineStr">
        <x:is>
          <x:t xml:space="preserve">building.tree</x:t>
        </x:is>
      </x:c>
      <x:c r="B6" s="11" t="inlineStr">
        <x:is>
          <x:t xml:space="preserve">tree_02</x:t>
        </x:is>
      </x:c>
      <x:c r="C6" s="11" t="inlineStr">
        <x:is>
          <x:t xml:space="preserve">树木 2</x:t>
        </x:is>
      </x:c>
      <x:c r="D6" s="11" t="inlineStr">
        <x:is>
          <x:t xml:space="preserve">Assets/Landsong/Art/Sprites/树木/树2.png</x:t>
        </x:is>
      </x:c>
      <x:c r="E6" s="11" t="inlineStr">
        <x:is>
          <x:t xml:space="preserve">Assets/Landsong/Objects/Prefabs/BuildingViews/树/树 (2).prefab</x:t>
        </x:is>
      </x:c>
      <x:c r="F6" s="14" t="str">
        <x:f>IF(OR(D6="",E6=""),"待回填","完整")</x:f>
        <x:v>完整</x:v>
      </x:c>
    </x:row>
    <x:row r="7">
      <x:c r="A7" s="11" t="inlineStr">
        <x:is>
          <x:t xml:space="preserve">building.tree</x:t>
        </x:is>
      </x:c>
      <x:c r="B7" s="11" t="inlineStr">
        <x:is>
          <x:t xml:space="preserve">tree_03</x:t>
        </x:is>
      </x:c>
      <x:c r="C7" s="11" t="inlineStr">
        <x:is>
          <x:t xml:space="preserve">树木 3</x:t>
        </x:is>
      </x:c>
      <x:c r="D7" s="11" t="inlineStr">
        <x:is>
          <x:t xml:space="preserve">Assets/Landsong/Art/Sprites/树木/树3.png</x:t>
        </x:is>
      </x:c>
      <x:c r="E7" s="11" t="inlineStr">
        <x:is>
          <x:t xml:space="preserve">Assets/Landsong/Objects/Prefabs/BuildingViews/树/树 (3).prefab</x:t>
        </x:is>
      </x:c>
      <x:c r="F7" s="14" t="str">
        <x:f>IF(OR(D7="",E7=""),"待回填","完整")</x:f>
        <x:v>完整</x:v>
      </x:c>
    </x:row>
    <x:row r="8">
      <x:c r="A8" s="11" t="inlineStr">
        <x:is>
          <x:t xml:space="preserve">building.tree</x:t>
        </x:is>
      </x:c>
      <x:c r="B8" s="11" t="inlineStr">
        <x:is>
          <x:t xml:space="preserve">tree_04</x:t>
        </x:is>
      </x:c>
      <x:c r="C8" s="11" t="inlineStr">
        <x:is>
          <x:t xml:space="preserve">树木 4</x:t>
        </x:is>
      </x:c>
      <x:c r="D8" s="11" t="inlineStr">
        <x:is>
          <x:t xml:space="preserve">Assets/Landsong/Art/Sprites/树木/树4.png</x:t>
        </x:is>
      </x:c>
      <x:c r="E8" s="11" t="inlineStr">
        <x:is>
          <x:t xml:space="preserve">Assets/Landsong/Objects/Prefabs/BuildingViews/树/树 (4).prefab</x:t>
        </x:is>
      </x:c>
      <x:c r="F8" s="14" t="str">
        <x:f>IF(OR(D8="",E8=""),"待回填","完整")</x:f>
        <x:v>完整</x:v>
      </x:c>
    </x:row>
    <x:row r="9">
      <x:c r="A9" s="11" t="inlineStr">
        <x:is>
          <x:t xml:space="preserve">building.tree</x:t>
        </x:is>
      </x:c>
      <x:c r="B9" s="11" t="inlineStr">
        <x:is>
          <x:t xml:space="preserve">tree_05</x:t>
        </x:is>
      </x:c>
      <x:c r="C9" s="11" t="inlineStr">
        <x:is>
          <x:t xml:space="preserve">树木 5</x:t>
        </x:is>
      </x:c>
      <x:c r="D9" s="11" t="inlineStr">
        <x:is>
          <x:t xml:space="preserve">Assets/Landsong/Art/Sprites/树木/树5.png</x:t>
        </x:is>
      </x:c>
      <x:c r="E9" s="11" t="inlineStr">
        <x:is>
          <x:t xml:space="preserve">Assets/Landsong/Objects/Prefabs/BuildingViews/树/树 (5).prefab</x:t>
        </x:is>
      </x:c>
      <x:c r="F9" s="14" t="str">
        <x:f>IF(OR(D9="",E9=""),"待回填","完整")</x:f>
        <x:v>完整</x:v>
      </x:c>
    </x:row>
    <x:row r="10">
      <x:c r="A10" s="11" t="inlineStr">
        <x:is>
          <x:t xml:space="preserve">building.tree</x:t>
        </x:is>
      </x:c>
      <x:c r="B10" s="11" t="inlineStr">
        <x:is>
          <x:t xml:space="preserve">tree_06</x:t>
        </x:is>
      </x:c>
      <x:c r="C10" s="11" t="inlineStr">
        <x:is>
          <x:t xml:space="preserve">树木 6</x:t>
        </x:is>
      </x:c>
      <x:c r="D10" s="11" t="inlineStr">
        <x:is>
          <x:t xml:space="preserve">Assets/Landsong/Art/Sprites/树木/树6.png</x:t>
        </x:is>
      </x:c>
      <x:c r="E10" s="11" t="inlineStr">
        <x:is>
          <x:t xml:space="preserve">Assets/Landsong/Objects/Prefabs/BuildingViews/树/树 (6).prefab</x:t>
        </x:is>
      </x:c>
      <x:c r="F10" s="14" t="str">
        <x:f>IF(OR(D10="",E10=""),"待回填","完整")</x:f>
        <x:v>完整</x:v>
      </x:c>
    </x:row>
    <x:row r="11">
      <x:c r="A11" s="11" t="inlineStr">
        <x:is>
          <x:t xml:space="preserve">building.tree</x:t>
        </x:is>
      </x:c>
      <x:c r="B11" s="11" t="inlineStr">
        <x:is>
          <x:t xml:space="preserve">tree_07</x:t>
        </x:is>
      </x:c>
      <x:c r="C11" s="11" t="inlineStr">
        <x:is>
          <x:t xml:space="preserve">树木 7</x:t>
        </x:is>
      </x:c>
      <x:c r="D11" s="11" t="inlineStr">
        <x:is>
          <x:t xml:space="preserve">Assets/Landsong/Art/Sprites/树木/树7.png</x:t>
        </x:is>
      </x:c>
      <x:c r="E11" s="11" t="inlineStr">
        <x:is>
          <x:t xml:space="preserve">Assets/Landsong/Objects/Prefabs/BuildingViews/树/树 (7).prefab</x:t>
        </x:is>
      </x:c>
      <x:c r="F11" s="14" t="str">
        <x:f>IF(OR(D11="",E11=""),"待回填","完整")</x:f>
        <x:v>完整</x:v>
      </x:c>
    </x:row>
    <x:row r="12">
      <x:c r="A12" s="11" t="inlineStr">
        <x:is>
          <x:t xml:space="preserve">building.tree</x:t>
        </x:is>
      </x:c>
      <x:c r="B12" s="11" t="inlineStr">
        <x:is>
          <x:t xml:space="preserve">tree_08</x:t>
        </x:is>
      </x:c>
      <x:c r="C12" s="11" t="inlineStr">
        <x:is>
          <x:t xml:space="preserve">树木 8</x:t>
        </x:is>
      </x:c>
      <x:c r="D12" s="11" t="inlineStr">
        <x:is>
          <x:t xml:space="preserve">Assets/Landsong/Art/Sprites/树木/树8.png</x:t>
        </x:is>
      </x:c>
      <x:c r="E12" s="11" t="inlineStr">
        <x:is>
          <x:t xml:space="preserve">Assets/Landsong/Objects/Prefabs/BuildingViews/树/树( 8).prefab</x:t>
        </x:is>
      </x:c>
      <x:c r="F12" s="14" t="str">
        <x:f>IF(OR(D12="",E12=""),"待回填","完整")</x:f>
        <x:v>完整</x:v>
      </x:c>
    </x:row>
    <x:row r="13">
      <x:c r="A13" s="11" t="inlineStr">
        <x:is>
          <x:t xml:space="preserve">building.sculpture</x:t>
        </x:is>
      </x:c>
      <x:c r="B13" s="11" t="inlineStr">
        <x:is>
          <x:t xml:space="preserve">sculpture_goddess</x:t>
        </x:is>
      </x:c>
      <x:c r="C13" s="11" t="inlineStr">
        <x:is>
          <x:t xml:space="preserve">女神雕塑</x:t>
        </x:is>
      </x:c>
      <x:c r="D13" s="11" t="inlineStr">
        <x:is>
          <x:t xml:space="preserve">Assets/Landsong/Art/Sprites/雕塑11/女神雕塑.png</x:t>
        </x:is>
      </x:c>
      <x:c r="E13" s="11" t="inlineStr">
        <x:is>
          <x:t xml:space="preserve">Assets/Landsong/Objects/Prefabs/BuildingViews/雕塑/女神雕塑.prefab</x:t>
        </x:is>
      </x:c>
      <x:c r="F13" s="14" t="str">
        <x:f>IF(OR(D13="",E13=""),"待回填","完整")</x:f>
        <x:v>完整</x:v>
      </x:c>
    </x:row>
    <x:row r="14">
      <x:c r="A14" s="11" t="inlineStr">
        <x:is>
          <x:t xml:space="preserve">building.sculpture</x:t>
        </x:is>
      </x:c>
      <x:c r="B14" s="11" t="inlineStr">
        <x:is>
          <x:t xml:space="preserve">sculpture_deer</x:t>
        </x:is>
      </x:c>
      <x:c r="C14" s="11" t="inlineStr">
        <x:is>
          <x:t xml:space="preserve">神鹿雕塑</x:t>
        </x:is>
      </x:c>
      <x:c r="D14" s="11" t="inlineStr">
        <x:is>
          <x:t xml:space="preserve">Assets/Landsong/Art/Sprites/雕塑11/神鹿雕塑.png</x:t>
        </x:is>
      </x:c>
      <x:c r="E14" s="11" t="inlineStr">
        <x:is>
          <x:t xml:space="preserve">Assets/Landsong/Objects/Prefabs/BuildingViews/雕塑/神鹿雕塑.prefab</x:t>
        </x:is>
      </x:c>
      <x:c r="F14" s="14" t="str">
        <x:f>IF(OR(D14="",E14=""),"待回填","完整")</x:f>
        <x:v>完整</x:v>
      </x:c>
    </x:row>
    <x:row r="15"/>
    <x:row r="16"/>
    <x:row r="17"/>
    <x:row r="18"/>
    <x:row r="19"/>
    <x:row r="20"/>
    <x:row r="21"/>
    <x:row r="22"/>
    <x:row r="23"/>
    <x:row r="24"/>
  </x:sheetData>
  <x:mergeCells>
    <x:mergeCell ref="A2:F2"/>
    <x:mergeCell ref="A1:F1"/>
  </x:mergeCells>
  <x:conditionalFormatting sqref="F5:F24">
    <x:cfRule type="containsText" dxfId="0" priority="1" operator="between" text="通过">
      <x:formula>NOT(ISERROR(SEARCH("通过",F5)))</x:formula>
    </x:cfRule>
    <x:cfRule type="containsText" dxfId="1" priority="2" operator="between" text="待">
      <x:formula>NOT(ISERROR(SEARCH("待",F5)))</x:formula>
    </x:cfRule>
    <x:cfRule type="containsText" dxfId="2" priority="3" operator="between" text="错误">
      <x:formula>NOT(ISERROR(SEARCH("错误",F5)))</x:formula>
    </x:cfRule>
  </x:conditionalFormatting>
  <x:dataValidations count="1">
    <x:dataValidation type="list" allowBlank="0" showDropDown="0" showInputMessage="0" showErrorMessage="0" sqref="A5:A24">
      <x:formula1>"building.player_home,building.residential_house,building.lumber_cabin,building.fishing_hut,building.farm_field,building.market,building.warehouse,building.road,building.tree"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7f648a7def4fee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16" style="42" customWidth="1"/>
    <x:col min="2" max="2" width="34" style="42" customWidth="1"/>
    <x:col min="3" max="3" width="28" style="42" customWidth="1"/>
    <x:col min="4" max="4" width="40" style="42" customWidth="1"/>
    <x:col min="5" max="5" width="12" style="42" customWidth="1"/>
  </x:cols>
  <x:sheetData>
    <x:row r="1" s="42" customFormat="1" ht="30" customHeight="1">
      <x:c r="A1" s="1" t="inlineStr">
        <x:is>
          <x:t xml:space="preserve">稳定 ID 与导入权属字典</x:t>
        </x:is>
      </x:c>
    </x:row>
    <x:row r="2" s="42" customFormat="1" ht="38" customHeight="1">
      <x:c r="A2" s="2" t="inlineStr">
        <x:is>
          <x:t xml:space="preserve">ItemId 与 TechnologyId 必须能在 Unity 项目中唯一解析；显示名称可以变化，稳定 ID 不应随文案调整。</x:t>
        </x:is>
      </x:c>
    </x:row>
    <x:row r="3">
      <x:c r="A3" s="3" t="n"/>
      <x:c r="B3" s="3" t="n"/>
      <x:c r="C3" s="3" t="n"/>
      <x:c r="D3" s="3" t="n"/>
      <x:c r="E3" s="3" t="n"/>
    </x:row>
    <x:row r="4" s="42" customFormat="1" ht="30" customHeight="1">
      <x:c r="A4" s="4" t="inlineStr">
        <x:is>
          <x:t xml:space="preserve">类型</x:t>
        </x:is>
      </x:c>
      <x:c r="B4" s="5" t="inlineStr">
        <x:is>
          <x:t xml:space="preserve">稳定ID/名称</x:t>
        </x:is>
      </x:c>
      <x:c r="C4" s="5" t="inlineStr">
        <x:is>
          <x:t xml:space="preserve">显示说明</x:t>
        </x:is>
      </x:c>
      <x:c r="D4" s="5" t="inlineStr">
        <x:is>
          <x:t xml:space="preserve">Unity 解析目标</x:t>
        </x:is>
      </x:c>
      <x:c r="E4" s="6" t="inlineStr">
        <x:is>
          <x:t xml:space="preserve">是否导入</x:t>
        </x:is>
      </x:c>
    </x:row>
    <x:row r="5">
      <x:c r="A5" s="7" t="inlineStr">
        <x:is>
          <x:t xml:space="preserve">Category</x:t>
        </x:is>
      </x:c>
      <x:c r="B5" s="7" t="inlineStr">
        <x:is>
          <x:t xml:space="preserve">人口</x:t>
        </x:is>
      </x:c>
      <x:c r="C5" s="7" t="inlineStr">
        <x:is>
          <x:t xml:space="preserve">住宅、人口容量与人口服务</x:t>
        </x:is>
      </x:c>
      <x:c r="D5" s="7" t="inlineStr">
        <x:is>
          <x:t xml:space="preserve">BuildingCategory.人口</x:t>
        </x:is>
      </x:c>
      <x:c r="E5" s="7" t="inlineStr">
        <x:is>
          <x:t xml:space="preserve">是</x:t>
        </x:is>
      </x:c>
    </x:row>
    <x:row r="6">
      <x:c r="A6" s="11" t="inlineStr">
        <x:is>
          <x:t xml:space="preserve">Category</x:t>
        </x:is>
      </x:c>
      <x:c r="B6" s="11" t="inlineStr">
        <x:is>
          <x:t xml:space="preserve">农业</x:t>
        </x:is>
      </x:c>
      <x:c r="C6" s="11" t="inlineStr">
        <x:is>
          <x:t xml:space="preserve">种植、养殖、捕鱼与食物获取</x:t>
        </x:is>
      </x:c>
      <x:c r="D6" s="11" t="inlineStr">
        <x:is>
          <x:t xml:space="preserve">BuildingCategory.农业</x:t>
        </x:is>
      </x:c>
      <x:c r="E6" s="11" t="inlineStr">
        <x:is>
          <x:t xml:space="preserve">是</x:t>
        </x:is>
      </x:c>
    </x:row>
    <x:row r="7">
      <x:c r="A7" s="11" t="inlineStr">
        <x:is>
          <x:t xml:space="preserve">Category</x:t>
        </x:is>
      </x:c>
      <x:c r="B7" s="11" t="inlineStr">
        <x:is>
          <x:t xml:space="preserve">工业</x:t>
        </x:is>
      </x:c>
      <x:c r="C7" s="11" t="inlineStr">
        <x:is>
          <x:t xml:space="preserve">资源采集、加工与制造</x:t>
        </x:is>
      </x:c>
      <x:c r="D7" s="11" t="inlineStr">
        <x:is>
          <x:t xml:space="preserve">BuildingCategory.工业</x:t>
        </x:is>
      </x:c>
      <x:c r="E7" s="11" t="inlineStr">
        <x:is>
          <x:t xml:space="preserve">是</x:t>
        </x:is>
      </x:c>
    </x:row>
    <x:row r="8">
      <x:c r="A8" s="11" t="inlineStr">
        <x:is>
          <x:t xml:space="preserve">Category</x:t>
        </x:is>
      </x:c>
      <x:c r="B8" s="11" t="inlineStr">
        <x:is>
          <x:t xml:space="preserve">经济</x:t>
        </x:is>
      </x:c>
      <x:c r="C8" s="11" t="inlineStr">
        <x:is>
          <x:t xml:space="preserve">市场、贸易与财政</x:t>
        </x:is>
      </x:c>
      <x:c r="D8" s="11" t="inlineStr">
        <x:is>
          <x:t xml:space="preserve">BuildingCategory.经济</x:t>
        </x:is>
      </x:c>
      <x:c r="E8" s="11" t="inlineStr">
        <x:is>
          <x:t xml:space="preserve">是</x:t>
        </x:is>
      </x:c>
    </x:row>
    <x:row r="9">
      <x:c r="A9" s="11" t="inlineStr">
        <x:is>
          <x:t xml:space="preserve">Category</x:t>
        </x:is>
      </x:c>
      <x:c r="B9" s="11" t="inlineStr">
        <x:is>
          <x:t xml:space="preserve">科研</x:t>
        </x:is>
      </x:c>
      <x:c r="C9" s="11" t="inlineStr">
        <x:is>
          <x:t xml:space="preserve">研究与科技产出</x:t>
        </x:is>
      </x:c>
      <x:c r="D9" s="11" t="inlineStr">
        <x:is>
          <x:t xml:space="preserve">BuildingCategory.科研</x:t>
        </x:is>
      </x:c>
      <x:c r="E9" s="11" t="inlineStr">
        <x:is>
          <x:t xml:space="preserve">是</x:t>
        </x:is>
      </x:c>
    </x:row>
    <x:row r="10">
      <x:c r="A10" s="11" t="inlineStr">
        <x:is>
          <x:t xml:space="preserve">Category</x:t>
        </x:is>
      </x:c>
      <x:c r="B10" s="11" t="inlineStr">
        <x:is>
          <x:t xml:space="preserve">市政</x:t>
        </x:is>
      </x:c>
      <x:c r="C10" s="11" t="inlineStr">
        <x:is>
          <x:t xml:space="preserve">治理、公共服务与城市核心</x:t>
        </x:is>
      </x:c>
      <x:c r="D10" s="11" t="inlineStr">
        <x:is>
          <x:t xml:space="preserve">BuildingCategory.市政</x:t>
        </x:is>
      </x:c>
      <x:c r="E10" s="11" t="inlineStr">
        <x:is>
          <x:t xml:space="preserve">是</x:t>
        </x:is>
      </x:c>
    </x:row>
    <x:row r="11">
      <x:c r="A11" s="11" t="inlineStr">
        <x:is>
          <x:t xml:space="preserve">Category</x:t>
        </x:is>
      </x:c>
      <x:c r="B11" s="11" t="inlineStr">
        <x:is>
          <x:t xml:space="preserve">军事</x:t>
        </x:is>
      </x:c>
      <x:c r="C11" s="11" t="inlineStr">
        <x:is>
          <x:t xml:space="preserve">防御、驻军与训练</x:t>
        </x:is>
      </x:c>
      <x:c r="D11" s="11" t="inlineStr">
        <x:is>
          <x:t xml:space="preserve">BuildingCategory.军事</x:t>
        </x:is>
      </x:c>
      <x:c r="E11" s="11" t="inlineStr">
        <x:is>
          <x:t xml:space="preserve">是</x:t>
        </x:is>
      </x:c>
    </x:row>
    <x:row r="12">
      <x:c r="A12" s="11" t="inlineStr">
        <x:is>
          <x:t xml:space="preserve">Category</x:t>
        </x:is>
      </x:c>
      <x:c r="B12" s="11" t="inlineStr">
        <x:is>
          <x:t xml:space="preserve">交通</x:t>
        </x:is>
      </x:c>
      <x:c r="C12" s="11" t="inlineStr">
        <x:is>
          <x:t xml:space="preserve">道路、运输与通行设施</x:t>
        </x:is>
      </x:c>
      <x:c r="D12" s="11" t="inlineStr">
        <x:is>
          <x:t xml:space="preserve">BuildingCategory.交通</x:t>
        </x:is>
      </x:c>
      <x:c r="E12" s="11" t="inlineStr">
        <x:is>
          <x:t xml:space="preserve">是</x:t>
        </x:is>
      </x:c>
    </x:row>
    <x:row r="13">
      <x:c r="A13" s="11" t="inlineStr">
        <x:is>
          <x:t xml:space="preserve">Category</x:t>
        </x:is>
      </x:c>
      <x:c r="B13" s="11" t="inlineStr">
        <x:is>
          <x:t xml:space="preserve">装饰</x:t>
        </x:is>
      </x:c>
      <x:c r="C13" s="11" t="inlineStr">
        <x:is>
          <x:t xml:space="preserve">景观与非核心装饰</x:t>
        </x:is>
      </x:c>
      <x:c r="D13" s="11" t="inlineStr">
        <x:is>
          <x:t xml:space="preserve">BuildingCategory.装饰</x:t>
        </x:is>
      </x:c>
      <x:c r="E13" s="11" t="inlineStr">
        <x:is>
          <x:t xml:space="preserve">是</x:t>
        </x:is>
      </x:c>
    </x:row>
    <x:row r="14">
      <x:c r="A14" s="11" t="inlineStr">
        <x:is>
          <x:t xml:space="preserve">Category</x:t>
        </x:is>
      </x:c>
      <x:c r="B14" s="11" t="inlineStr">
        <x:is>
          <x:t xml:space="preserve">奇观</x:t>
        </x:is>
      </x:c>
      <x:c r="C14" s="11" t="inlineStr">
        <x:is>
          <x:t xml:space="preserve">唯一性或里程碑大型建筑</x:t>
        </x:is>
      </x:c>
      <x:c r="D14" s="11" t="inlineStr">
        <x:is>
          <x:t xml:space="preserve">BuildingCategory.奇观</x:t>
        </x:is>
      </x:c>
      <x:c r="E14" s="11" t="inlineStr">
        <x:is>
          <x:t xml:space="preserve">是</x:t>
        </x:is>
      </x:c>
    </x:row>
    <x:row r="15">
      <x:c r="A15" s="11" t="inlineStr">
        <x:is>
          <x:t xml:space="preserve">Item</x:t>
        </x:is>
      </x:c>
      <x:c r="B15" s="11" t="inlineStr">
        <x:is>
          <x:t xml:space="preserve">金币</x:t>
        </x:is>
      </x:c>
      <x:c r="C15" s="11" t="inlineStr">
        <x:is>
          <x:t xml:space="preserve">金币</x:t>
        </x:is>
      </x:c>
      <x:c r="D15" s="11" t="inlineStr">
        <x:is>
          <x:t xml:space="preserve">ItemDefinition.ItemId</x:t>
        </x:is>
      </x:c>
      <x:c r="E15" s="11" t="inlineStr">
        <x:is>
          <x:t xml:space="preserve">是</x:t>
        </x:is>
      </x:c>
    </x:row>
    <x:row r="16">
      <x:c r="A16" s="11" t="inlineStr">
        <x:is>
          <x:t xml:space="preserve">Item</x:t>
        </x:is>
      </x:c>
      <x:c r="B16" s="11" t="inlineStr">
        <x:is>
          <x:t xml:space="preserve">泥土</x:t>
        </x:is>
      </x:c>
      <x:c r="C16" s="11" t="inlineStr">
        <x:is>
          <x:t xml:space="preserve">泥土</x:t>
        </x:is>
      </x:c>
      <x:c r="D16" s="11" t="inlineStr">
        <x:is>
          <x:t xml:space="preserve">ItemDefinition.ItemId</x:t>
        </x:is>
      </x:c>
      <x:c r="E16" s="11" t="inlineStr">
        <x:is>
          <x:t xml:space="preserve">是</x:t>
        </x:is>
      </x:c>
    </x:row>
    <x:row r="17">
      <x:c r="A17" s="11" t="inlineStr">
        <x:is>
          <x:t xml:space="preserve">Item</x:t>
        </x:is>
      </x:c>
      <x:c r="B17" s="11" t="inlineStr">
        <x:is>
          <x:t xml:space="preserve">石头</x:t>
        </x:is>
      </x:c>
      <x:c r="C17" s="11" t="inlineStr">
        <x:is>
          <x:t xml:space="preserve">石头</x:t>
        </x:is>
      </x:c>
      <x:c r="D17" s="11" t="inlineStr">
        <x:is>
          <x:t xml:space="preserve">ItemDefinition.ItemId</x:t>
        </x:is>
      </x:c>
      <x:c r="E17" s="11" t="inlineStr">
        <x:is>
          <x:t xml:space="preserve">是</x:t>
        </x:is>
      </x:c>
    </x:row>
    <x:row r="18">
      <x:c r="A18" s="11" t="inlineStr">
        <x:is>
          <x:t xml:space="preserve">Item</x:t>
        </x:is>
      </x:c>
      <x:c r="B18" s="11" t="inlineStr">
        <x:is>
          <x:t xml:space="preserve">原木</x:t>
        </x:is>
      </x:c>
      <x:c r="C18" s="11" t="inlineStr">
        <x:is>
          <x:t xml:space="preserve">原木</x:t>
        </x:is>
      </x:c>
      <x:c r="D18" s="11" t="inlineStr">
        <x:is>
          <x:t xml:space="preserve">ItemDefinition.ItemId</x:t>
        </x:is>
      </x:c>
      <x:c r="E18" s="11" t="inlineStr">
        <x:is>
          <x:t xml:space="preserve">是</x:t>
        </x:is>
      </x:c>
    </x:row>
    <x:row r="19">
      <x:c r="A19" s="11" t="inlineStr">
        <x:is>
          <x:t xml:space="preserve">Item</x:t>
        </x:is>
      </x:c>
      <x:c r="B19" s="11" t="inlineStr">
        <x:is>
          <x:t xml:space="preserve">木板</x:t>
        </x:is>
      </x:c>
      <x:c r="C19" s="11" t="inlineStr">
        <x:is>
          <x:t xml:space="preserve">木板</x:t>
        </x:is>
      </x:c>
      <x:c r="D19" s="11" t="inlineStr">
        <x:is>
          <x:t xml:space="preserve">ItemDefinition.ItemId</x:t>
        </x:is>
      </x:c>
      <x:c r="E19" s="11" t="inlineStr">
        <x:is>
          <x:t xml:space="preserve">是</x:t>
        </x:is>
      </x:c>
    </x:row>
    <x:row r="20">
      <x:c r="A20" s="11" t="inlineStr">
        <x:is>
          <x:t xml:space="preserve">Item</x:t>
        </x:is>
      </x:c>
      <x:c r="B20" s="11" t="inlineStr">
        <x:is>
          <x:t xml:space="preserve">树苗</x:t>
        </x:is>
      </x:c>
      <x:c r="C20" s="11" t="inlineStr">
        <x:is>
          <x:t xml:space="preserve">树苗</x:t>
        </x:is>
      </x:c>
      <x:c r="D20" s="11" t="inlineStr">
        <x:is>
          <x:t xml:space="preserve">ItemDefinition.ItemId</x:t>
        </x:is>
      </x:c>
      <x:c r="E20" s="11" t="inlineStr">
        <x:is>
          <x:t xml:space="preserve">是</x:t>
        </x:is>
      </x:c>
    </x:row>
    <x:row r="21">
      <x:c r="A21" s="11" t="inlineStr">
        <x:is>
          <x:t xml:space="preserve">Item</x:t>
        </x:is>
      </x:c>
      <x:c r="B21" s="11" t="inlineStr">
        <x:is>
          <x:t xml:space="preserve">蔬菜</x:t>
        </x:is>
      </x:c>
      <x:c r="C21" s="11" t="inlineStr">
        <x:is>
          <x:t xml:space="preserve">蔬菜</x:t>
        </x:is>
      </x:c>
      <x:c r="D21" s="11" t="inlineStr">
        <x:is>
          <x:t xml:space="preserve">ItemDefinition.ItemId</x:t>
        </x:is>
      </x:c>
      <x:c r="E21" s="11" t="inlineStr">
        <x:is>
          <x:t xml:space="preserve">是</x:t>
        </x:is>
      </x:c>
    </x:row>
    <x:row r="22">
      <x:c r="A22" s="11" t="inlineStr">
        <x:is>
          <x:t xml:space="preserve">Item</x:t>
        </x:is>
      </x:c>
      <x:c r="B22" s="11" t="inlineStr">
        <x:is>
          <x:t xml:space="preserve">鱼</x:t>
        </x:is>
      </x:c>
      <x:c r="C22" s="11" t="inlineStr">
        <x:is>
          <x:t xml:space="preserve">鱼</x:t>
        </x:is>
      </x:c>
      <x:c r="D22" s="11" t="inlineStr">
        <x:is>
          <x:t xml:space="preserve">ItemDefinition.ItemId</x:t>
        </x:is>
      </x:c>
      <x:c r="E22" s="11" t="inlineStr">
        <x:is>
          <x:t xml:space="preserve">是</x:t>
        </x:is>
      </x:c>
    </x:row>
    <x:row r="23">
      <x:c r="A23" s="11" t="inlineStr">
        <x:is>
          <x:t xml:space="preserve">Item</x:t>
        </x:is>
      </x:c>
      <x:c r="B23" s="11" t="inlineStr">
        <x:is>
          <x:t xml:space="preserve">黄金鱼</x:t>
        </x:is>
      </x:c>
      <x:c r="C23" s="11" t="inlineStr">
        <x:is>
          <x:t xml:space="preserve">黄金鱼</x:t>
        </x:is>
      </x:c>
      <x:c r="D23" s="11" t="inlineStr">
        <x:is>
          <x:t xml:space="preserve">ItemDefinition.ItemId</x:t>
        </x:is>
      </x:c>
      <x:c r="E23" s="11" t="inlineStr">
        <x:is>
          <x:t xml:space="preserve">是</x:t>
        </x:is>
      </x:c>
    </x:row>
    <x:row r="24">
      <x:c r="A24" s="11" t="inlineStr">
        <x:is>
          <x:t xml:space="preserve">Condition</x:t>
        </x:is>
      </x:c>
      <x:c r="B24" s="11" t="inlineStr">
        <x:is>
          <x:t xml:space="preserve">none</x:t>
        </x:is>
      </x:c>
      <x:c r="C24" s="11" t="inlineStr">
        <x:is>
          <x:t xml:space="preserve">无升级条件</x:t>
        </x:is>
      </x:c>
      <x:c r="D24" s="11" t="inlineStr">
        <x:is>
          <x:t xml:space="preserve">null</x:t>
        </x:is>
      </x:c>
      <x:c r="E24" s="11" t="inlineStr">
        <x:is>
          <x:t xml:space="preserve">是</x:t>
        </x:is>
      </x:c>
    </x:row>
    <x:row r="25">
      <x:c r="A25" s="11" t="inlineStr">
        <x:is>
          <x:t xml:space="preserve">Condition</x:t>
        </x:is>
      </x:c>
      <x:c r="B25" s="11" t="inlineStr">
        <x:is>
          <x:t xml:space="preserve">keep</x:t>
        </x:is>
      </x:c>
      <x:c r="C25" s="11" t="inlineStr">
        <x:is>
          <x:t xml:space="preserve">保留现有条件（仅现有等级）</x:t>
        </x:is>
      </x:c>
      <x:c r="D25" s="11" t="inlineStr">
        <x:is>
          <x:t xml:space="preserve">现有 GameCondition</x:t>
        </x:is>
      </x:c>
      <x:c r="E25" s="11" t="inlineStr">
        <x:is>
          <x:t xml:space="preserve">是</x:t>
        </x:is>
      </x:c>
    </x:row>
    <x:row r="26">
      <x:c r="A26" s="11" t="inlineStr">
        <x:is>
          <x:t xml:space="preserve">Condition</x:t>
        </x:is>
      </x:c>
      <x:c r="B26" s="11" t="inlineStr">
        <x:is>
          <x:t xml:space="preserve">technology.TN_3_1_启蒙</x:t>
        </x:is>
      </x:c>
      <x:c r="C26" s="11" t="inlineStr">
        <x:is>
          <x:t xml:space="preserve">启蒙科技解锁</x:t>
        </x:is>
      </x:c>
      <x:c r="D26" s="11" t="inlineStr">
        <x:is>
          <x:t xml:space="preserve">GameCondition_TechnologyUnlocked</x:t>
        </x:is>
      </x:c>
      <x:c r="E26" s="11" t="inlineStr">
        <x:is>
          <x:t xml:space="preserve">是</x:t>
        </x:is>
      </x:c>
    </x:row>
    <x:row r="27">
      <x:c r="A27" s="11" t="inlineStr">
        <x:is>
          <x:t xml:space="preserve">LevelConfiguration</x:t>
        </x:is>
      </x:c>
      <x:c r="B27" s="11" t="inlineStr">
        <x:is>
          <x:t xml:space="preserve">warehouse.operation</x:t>
        </x:is>
      </x:c>
      <x:c r="C27" s="11" t="inlineStr">
        <x:is>
          <x:t xml:space="preserve">仓库容量、维护、经验、奖励和吸引力惩罚</x:t>
        </x:is>
      </x:c>
      <x:c r="D27" s="11" t="inlineStr">
        <x:is>
          <x:t xml:space="preserve">WarehouseLevelConfiguration</x:t>
        </x:is>
      </x:c>
      <x:c r="E27" s="11" t="inlineStr">
        <x:is>
          <x:t xml:space="preserve">是</x:t>
        </x:is>
      </x:c>
    </x:row>
    <x:row r="28">
      <x:c r="A28" s="11" t="inlineStr">
        <x:is>
          <x:t xml:space="preserve">SpatialEffect.Kind</x:t>
        </x:is>
      </x:c>
      <x:c r="B28" s="11" t="inlineStr">
        <x:is>
          <x:t xml:space="preserve">beauty</x:t>
        </x:is>
      </x:c>
      <x:c r="C28" s="11" t="inlineStr">
        <x:is>
          <x:t xml:space="preserve">格子美化</x:t>
        </x:is>
      </x:c>
      <x:c r="D28" s="11" t="inlineStr">
        <x:is>
          <x:t xml:space="preserve">BuildingSpatialEffectKind</x:t>
        </x:is>
      </x:c>
      <x:c r="E28" s="11" t="inlineStr">
        <x:is>
          <x:t xml:space="preserve">是</x:t>
        </x:is>
      </x:c>
    </x:row>
    <x:row r="29">
      <x:c r="A29" s="11" t="inlineStr">
        <x:is>
          <x:t xml:space="preserve">SpatialEffect.Kind</x:t>
        </x:is>
      </x:c>
      <x:c r="B29" s="11" t="inlineStr">
        <x:is>
          <x:t xml:space="preserve">production_percent</x:t>
        </x:is>
      </x:c>
      <x:c r="C29" s="11" t="inlineStr">
        <x:is>
          <x:t xml:space="preserve">建筑生产百分比</x:t>
        </x:is>
      </x:c>
      <x:c r="D29" s="11" t="inlineStr">
        <x:is>
          <x:t xml:space="preserve">BuildingSpatialEffectKind</x:t>
        </x:is>
      </x:c>
      <x:c r="E29" s="11" t="inlineStr">
        <x:is>
          <x:t xml:space="preserve">是</x:t>
        </x:is>
      </x:c>
    </x:row>
    <x:row r="30">
      <x:c r="A30" s="11" t="inlineStr">
        <x:is>
          <x:t xml:space="preserve">SpatialEffect.Target</x:t>
        </x:is>
      </x:c>
      <x:c r="B30" s="11" t="inlineStr">
        <x:is>
          <x:t xml:space="preserve">cell</x:t>
        </x:is>
      </x:c>
      <x:c r="C30" s="11" t="inlineStr">
        <x:is>
          <x:t xml:space="preserve">地图格</x:t>
        </x:is>
      </x:c>
      <x:c r="D30" s="11" t="inlineStr">
        <x:is>
          <x:t xml:space="preserve">BuildingSpatialTargetFilter</x:t>
        </x:is>
      </x:c>
      <x:c r="E30" s="11" t="inlineStr">
        <x:is>
          <x:t xml:space="preserve">是</x:t>
        </x:is>
      </x:c>
    </x:row>
    <x:row r="31">
      <x:c r="A31" s="11" t="inlineStr">
        <x:is>
          <x:t xml:space="preserve">SpatialEffect.Target</x:t>
        </x:is>
      </x:c>
      <x:c r="B31" s="11" t="inlineStr">
        <x:is>
          <x:t xml:space="preserve">any_building</x:t>
        </x:is>
      </x:c>
      <x:c r="C31" s="11" t="inlineStr">
        <x:is>
          <x:t xml:space="preserve">任意建筑</x:t>
        </x:is>
      </x:c>
      <x:c r="D31" s="11" t="inlineStr">
        <x:is>
          <x:t xml:space="preserve">BuildingSpatialTargetFilter</x:t>
        </x:is>
      </x:c>
      <x:c r="E31" s="11" t="inlineStr">
        <x:is>
          <x:t xml:space="preserve">是</x:t>
        </x:is>
      </x:c>
    </x:row>
    <x:row r="32">
      <x:c r="A32" s="11" t="inlineStr">
        <x:is>
          <x:t xml:space="preserve">SpatialEffect.Target</x:t>
        </x:is>
      </x:c>
      <x:c r="B32" s="11" t="inlineStr">
        <x:is>
          <x:t xml:space="preserve">farmland</x:t>
        </x:is>
      </x:c>
      <x:c r="C32" s="11" t="inlineStr">
        <x:is>
          <x:t xml:space="preserve">农田建筑</x:t>
        </x:is>
      </x:c>
      <x:c r="D32" s="11" t="inlineStr">
        <x:is>
          <x:t xml:space="preserve">BuildingSpatialTargetFilter</x:t>
        </x:is>
      </x:c>
      <x:c r="E32" s="11" t="inlineStr">
        <x:is>
          <x:t xml:space="preserve">是</x:t>
        </x:is>
      </x:c>
    </x:row>
    <x:row r="33">
      <x:c r="A33" s="11" t="inlineStr">
        <x:is>
          <x:t xml:space="preserve">SpatialEffect.Stacking</x:t>
        </x:is>
      </x:c>
      <x:c r="B33" s="11" t="inlineStr">
        <x:is>
          <x:t xml:space="preserve">additive</x:t>
        </x:is>
      </x:c>
      <x:c r="C33" s="11" t="inlineStr">
        <x:is>
          <x:t xml:space="preserve">全部来源累加</x:t>
        </x:is>
      </x:c>
      <x:c r="D33" s="11" t="inlineStr">
        <x:is>
          <x:t xml:space="preserve">BuildingSpatialStackingRule</x:t>
        </x:is>
      </x:c>
      <x:c r="E33" s="11" t="inlineStr">
        <x:is>
          <x:t xml:space="preserve">是</x:t>
        </x:is>
      </x:c>
    </x:row>
    <x:row r="34">
      <x:c r="A34" s="11" t="inlineStr">
        <x:is>
          <x:t xml:space="preserve">SpatialEffect.Stacking</x:t>
        </x:is>
      </x:c>
      <x:c r="B34" s="11" t="inlineStr">
        <x:is>
          <x:t xml:space="preserve">no_stack</x:t>
        </x:is>
      </x:c>
      <x:c r="C34" s="11" t="inlineStr">
        <x:is>
          <x:t xml:space="preserve">同 EffectId 只取最高</x:t>
        </x:is>
      </x:c>
      <x:c r="D34" s="11" t="inlineStr">
        <x:is>
          <x:t xml:space="preserve">BuildingSpatialStackingRule</x:t>
        </x:is>
      </x:c>
      <x:c r="E34" s="11" t="inlineStr">
        <x:is>
          <x:t xml:space="preserve">是</x:t>
        </x:is>
      </x:c>
    </x:row>
    <x:row r="35">
      <x:c r="A35" s="11" t="inlineStr">
        <x:is>
          <x:t xml:space="preserve">SpatialEffect.Stacking</x:t>
        </x:is>
      </x:c>
      <x:c r="B35" s="11" t="inlineStr">
        <x:is>
          <x:t xml:space="preserve">highest_value</x:t>
        </x:is>
      </x:c>
      <x:c r="C35" s="11" t="inlineStr">
        <x:is>
          <x:t xml:space="preserve">该规则来源只取最高</x:t>
        </x:is>
      </x:c>
      <x:c r="D35" s="11" t="inlineStr">
        <x:is>
          <x:t xml:space="preserve">BuildingSpatialStackingRule</x:t>
        </x:is>
      </x:c>
      <x:c r="E35" s="11" t="inlineStr">
        <x:is>
          <x:t xml:space="preserve">是</x:t>
        </x:is>
      </x:c>
    </x:row>
    <x:row r="36">
      <x:c r="A36" s="11" t="inlineStr">
        <x:is>
          <x:t xml:space="preserve">Presentation</x:t>
        </x:is>
      </x:c>
      <x:c r="B36" s="11" t="inlineStr">
        <x:is>
          <x:t xml:space="preserve">StyleId</x:t>
        </x:is>
      </x:c>
      <x:c r="C36" s="11" t="inlineStr">
        <x:is>
          <x:t xml:space="preserve">视觉变体，不产生新家族</x:t>
        </x:is>
      </x:c>
      <x:c r="D36" s="11" t="inlineStr">
        <x:is>
          <x:t xml:space="preserve">BuildingPresentationDefinition</x:t>
        </x:is>
      </x:c>
      <x:c r="E36" s="11" t="inlineStr">
        <x:is>
          <x:t xml:space="preserve">否</x:t>
        </x:is>
      </x:c>
    </x:row>
    <x:row r="37">
      <x:c r="A37" s="11" t="inlineStr">
        <x:is>
          <x:t xml:space="preserve">Presentation</x:t>
        </x:is>
      </x:c>
      <x:c r="B37" s="11" t="inlineStr">
        <x:is>
          <x:t xml:space="preserve">Icon/View Path</x:t>
        </x:is>
      </x:c>
      <x:c r="C37" s="11" t="inlineStr">
        <x:is>
          <x:t xml:space="preserve">美术回填清单</x:t>
        </x:is>
      </x:c>
      <x:c r="D37" s="11" t="inlineStr">
        <x:is>
          <x:t xml:space="preserve">Unity 对象引用</x:t>
        </x:is>
      </x:c>
      <x:c r="E37" s="11" t="inlineStr">
        <x:is>
          <x:t xml:space="preserve">否</x:t>
        </x:is>
      </x:c>
    </x:row>
    <x:row r="38">
      <x:c r="A38" s="11" t="inlineStr">
        <x:is>
          <x:t xml:space="preserve">Structure</x:t>
        </x:is>
      </x:c>
      <x:c r="B38" s="11" t="inlineStr">
        <x:is>
          <x:t xml:space="preserve">ModuleSet</x:t>
        </x:is>
      </x:c>
      <x:c r="C38" s="11" t="inlineStr">
        <x:is>
          <x:t xml:space="preserve">模块类型和启用状态</x:t>
        </x:is>
      </x:c>
      <x:c r="D38" s="11" t="inlineStr">
        <x:is>
          <x:t xml:space="preserve">BuildingModuleSetDefinition</x:t>
        </x:is>
      </x:c>
      <x:c r="E38" s="11" t="inlineStr">
        <x:is>
          <x:t xml:space="preserve">否</x:t>
        </x:is>
      </x:c>
    </x:row>
    <x:row r="39">
      <x:c r="A39" s="11" t="inlineStr">
        <x:is>
          <x:t xml:space="preserve">Structure</x:t>
        </x:is>
      </x:c>
      <x:c r="B39" s="11" t="inlineStr">
        <x:is>
          <x:t xml:space="preserve">Runtime Prefab</x:t>
        </x:is>
      </x:c>
      <x:c r="C39" s="11" t="inlineStr">
        <x:is>
          <x:t xml:space="preserve">组件与层级结构</x:t>
        </x:is>
      </x:c>
      <x:c r="D39" s="11" t="inlineStr">
        <x:is>
          <x:t xml:space="preserve">Prefab</x:t>
        </x:is>
      </x:c>
      <x:c r="E39" s="11" t="inlineStr">
        <x:is>
          <x:t xml:space="preserve">否</x:t>
        </x:is>
      </x:c>
    </x:row>
    <x:row r="40">
      <x:c r="A40" t="str">
        <x:v>建筑家族</x:v>
      </x:c>
      <x:c r="B40" t="str">
        <x:v>占地内至少一格Keys</x:v>
      </x:c>
      <x:c r="C40" t="str">
        <x:v>string</x:v>
      </x:c>
      <x:c r="D40" t="str">
        <x:v>可空；多项用 | 分隔</x:v>
      </x:c>
      <x:c r="E40" t="str">
        <x:v>每个 Key 至少在 footprint 的一个格子中出现</x:v>
      </x:c>
    </x:row>
    <x:row r="41">
      <x:c r="A41" t="str">
        <x:v>建筑家族</x:v>
      </x:c>
      <x:c r="B41" t="str">
        <x:v>蓝图解锁ConditionId</x:v>
      </x:c>
      <x:c r="C41" t="str">
        <x:v>condition</x:v>
      </x:c>
      <x:c r="D41" t="str">
        <x:v>none / technology.&lt;TechnologyId&gt;</x:v>
      </x:c>
      <x:c r="E41" t="str">
        <x:v>持续蓝图关系归建筑侧，不写科技完成效果</x:v>
      </x:c>
    </x:row>
    <x:row r="42">
      <x:c r="A42" t="str">
        <x:v>施工产出</x:v>
      </x:c>
      <x:c r="B42" t="str">
        <x:v>数量</x:v>
      </x:c>
      <x:c r="C42" t="str">
        <x:v>int</x:v>
      </x:c>
      <x:c r="D42" t="str">
        <x:v>&gt; 0</x:v>
      </x:c>
      <x:c r="E42" t="str">
        <x:v>施工阶段成功时加入库存，和同回合消耗原子结算</x:v>
      </x:c>
    </x:row>
    <x:row r="43">
      <x:c r="A43" t="str">
        <x:v>等级_维护费</x:v>
      </x:c>
      <x:c r="B43" t="str">
        <x:v>维护费/回合</x:v>
      </x:c>
      <x:c r="C43" t="str">
        <x:v>int</x:v>
      </x:c>
      <x:c r="D43" t="str">
        <x:v>&gt;= 0</x:v>
      </x:c>
      <x:c r="E43" t="str">
        <x:v>失败时中止后续自动模块</x:v>
      </x:c>
    </x:row>
    <x:row r="44">
      <x:c r="A44" t="str">
        <x:v>科技_全局生产Buff</x:v>
      </x:c>
      <x:c r="B44" t="str">
        <x:v>固定加成/次</x:v>
      </x:c>
      <x:c r="C44" t="str">
        <x:v>int</x:v>
      </x:c>
      <x:c r="D44" t="str">
        <x:v>&gt; 0</x:v>
      </x:c>
      <x:c r="E44" t="str">
        <x:v>仅在目标建筑本次产生目标资源时叠加</x:v>
      </x:c>
    </x:row>
    <x:row r="45">
      <x:c r="A45" t="str">
        <x:v>Condition</x:v>
      </x:c>
      <x:c r="B45" t="str">
        <x:v>technology.TN_2_6_医学</x:v>
      </x:c>
      <x:c r="C45" t="str">
        <x:v>医院升 LV2 科技条件</x:v>
      </x:c>
      <x:c r="D45" t="str">
        <x:v>GameCondition_TechnologyUnlocked</x:v>
      </x:c>
      <x:c r="E45" t="str">
        <x:v>是</x:v>
      </x:c>
    </x:row>
    <x:row r="46">
      <x:c r="A46" t="str">
        <x:v>Condition</x:v>
      </x:c>
      <x:c r="B46" t="str">
        <x:v>technology.TN_2_13_生物学</x:v>
      </x:c>
      <x:c r="C46" t="str">
        <x:v>医院升 LV3 科技条件</x:v>
      </x:c>
      <x:c r="D46" t="str">
        <x:v>GameCondition_TechnologyUnlocked</x:v>
      </x:c>
      <x:c r="E46" t="str">
        <x:v>是</x:v>
      </x:c>
    </x:row>
    <x:row r="47">
      <x:c r="A47" t="str">
        <x:v>LevelConfiguration</x:v>
      </x:c>
      <x:c r="B47" t="str">
        <x:v>operational_experience</x:v>
      </x:c>
      <x:c r="C47" t="str">
        <x:v>通用运营经验与下级阈值</x:v>
      </x:c>
      <x:c r="D47" t="str">
        <x:v>BuildingOperationalExperienceLevelConfiguration</x:v>
      </x:c>
      <x:c r="E47" t="str">
        <x:v>是</x:v>
      </x:c>
    </x:row>
    <x:row r="48">
      <x:c r="A48" t="str">
        <x:v>SpatialEffect.Kind</x:v>
      </x:c>
      <x:c r="B48" t="str">
        <x:v>medical</x:v>
      </x:c>
      <x:c r="C48" t="str">
        <x:v>地图格医疗值；同格按 HighestValue 取最高</x:v>
      </x:c>
      <x:c r="D48" t="str">
        <x:v>BuildingSpatialEffectKind.Medical</x:v>
      </x:c>
      <x:c r="E48" t="str">
        <x:v>是</x:v>
      </x:c>
    </x:row>
    <x:row r="49">
      <x:c r="A49" t="str">
        <x:v>模块_范围效果</x:v>
      </x:c>
      <x:c r="B49" t="str">
        <x:v>生效Level</x:v>
      </x:c>
      <x:c r="C49" t="str">
        <x:v>0 为全部等级；正数为精确运营等级</x:v>
      </x:c>
      <x:c r="D49" t="str">
        <x:v>BuildingSpatialEffectDefinition.OperationalLevel</x:v>
      </x:c>
      <x:c r="E49" t="str">
        <x:v>是</x:v>
      </x:c>
    </x:row>
    <x:row r="50">
      <x:c r="A50" t="str">
        <x:v>模块_范围效果</x:v>
      </x:c>
      <x:c r="B50" t="str">
        <x:v>最低工人</x:v>
      </x:c>
      <x:c r="C50" t="str">
        <x:v>0 为无岗位条件；正数要求当前工人不少于该值</x:v>
      </x:c>
      <x:c r="D50" t="str">
        <x:v>BuildingSpatialEffectDefinition.MinimumWorkers</x:v>
      </x:c>
      <x:c r="E50" t="str">
        <x:v>是</x:v>
      </x:c>
    </x:row>
    <x:row r="51">
      <x:c r="A51" s="152" t="str">
        <x:v>Condition</x:v>
      </x:c>
      <x:c r="B51" s="152" t="str">
        <x:v>technology.TN_1_5_法律</x:v>
      </x:c>
      <x:c r="C51" s="152" t="str">
        <x:v>警局蓝图解锁科技条件</x:v>
      </x:c>
      <x:c r="D51" s="152" t="str">
        <x:v>GameCondition_TechnologyUnlocked</x:v>
      </x:c>
      <x:c r="E51" s="152" t="str">
        <x:v>是</x:v>
      </x:c>
    </x:row>
    <x:row r="52">
      <x:c r="A52" s="152" t="str">
        <x:v>Condition</x:v>
      </x:c>
      <x:c r="B52" s="152" t="str">
        <x:v>technology.TN_2_8_教育制度</x:v>
      </x:c>
      <x:c r="C52" s="152" t="str">
        <x:v>警局升 LV2 科技条件</x:v>
      </x:c>
      <x:c r="D52" s="152" t="str">
        <x:v>GameCondition_TechnologyUnlocked</x:v>
      </x:c>
      <x:c r="E52" s="152" t="str">
        <x:v>是</x:v>
      </x:c>
    </x:row>
    <x:row r="53">
      <x:c r="A53" s="152" t="str">
        <x:v>Condition</x:v>
      </x:c>
      <x:c r="B53" s="152" t="str">
        <x:v>technology.TN_4_15_信息化</x:v>
      </x:c>
      <x:c r="C53" s="152" t="str">
        <x:v>警局升 LV3 科技条件</x:v>
      </x:c>
      <x:c r="D53" s="152" t="str">
        <x:v>GameCondition_TechnologyUnlocked</x:v>
      </x:c>
      <x:c r="E53" s="152" t="str">
        <x:v>是</x:v>
      </x:c>
    </x:row>
    <x:row r="54">
      <x:c r="A54" s="152" t="str">
        <x:v>SpatialEffect.Kind</x:v>
      </x:c>
      <x:c r="B54" s="152" t="str">
        <x:v>security</x:v>
      </x:c>
      <x:c r="C54" s="152" t="str">
        <x:v>地图格治安值；同格按 HighestValue 取最高</x:v>
      </x:c>
      <x:c r="D54" s="152" t="str">
        <x:v>BuildingSpatialEffectKind.Security</x:v>
      </x:c>
      <x:c r="E54" s="152" t="str">
        <x:v>是</x:v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137df4d56baa4ef0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4"/>
  <x:cols>
    <x:col min="1" max="1" width="28" style="42" customWidth="1"/>
    <x:col min="2" max="2" width="16" style="42" customWidth="1"/>
    <x:col min="3" max="4" width="18" style="42" customWidth="1"/>
    <x:col min="5" max="5" width="48" style="42" customWidth="1"/>
  </x:cols>
  <x:sheetData>
    <x:row r="1" s="42" customFormat="1" ht="30" customHeight="1">
      <x:c r="A1" s="1" t="inlineStr">
        <x:is>
          <x:t xml:space="preserve">正式源表汇总</x:t>
        </x:is>
      </x:c>
    </x:row>
    <x:row r="2" s="42" customFormat="1" ht="38" customHeight="1">
      <x:c r="A2" s="2" t="inlineStr">
        <x:is>
          <x:t xml:space="preserve">这里提供快速体检，不替代 Unity 导表器。Unity 会额外检查重复键、物品/科技引用、等级连续性、模块依赖和数值范围。</x:t>
        </x:is>
      </x:c>
    </x:row>
    <x:row r="3">
      <x:c r="A3" s="3" t="n"/>
      <x:c r="B3" s="3" t="n"/>
      <x:c r="C3" s="3" t="n"/>
      <x:c r="D3" s="3" t="n"/>
      <x:c r="E3" s="3" t="n"/>
    </x:row>
    <x:row r="4" s="42" customFormat="1" ht="30" customHeight="1">
      <x:c r="A4" s="4" t="str">
        <x:v>检查项</x:v>
      </x:c>
      <x:c r="B4" s="5" t="str">
        <x:v>当前值</x:v>
      </x:c>
      <x:c r="C4" s="5" t="str">
        <x:v>基准/规则</x:v>
      </x:c>
      <x:c r="D4" s="5" t="str">
        <x:v>状态</x:v>
      </x:c>
      <x:c r="E4" s="6" t="str">
        <x:v>说明</x:v>
      </x:c>
    </x:row>
    <x:row r="5">
      <x:c r="A5" s="7" t="str">
        <x:v>家族数量</x:v>
      </x:c>
      <x:c r="B5" s="8" t="e">
        <x:f>COUNTA(建筑家族!A5:A200)</x:f>
        <x:v>#NAME?</x:v>
      </x:c>
      <x:c r="C5" s="9" t="n">
        <x:v>13</x:v>
      </x:c>
      <x:c r="D5" s="10" t="e">
        <x:f>IF(B5=C5,"通过","待检查")</x:f>
        <x:v>#NAME?</x:v>
      </x:c>
      <x:c r="E5" s="7" t="str">
        <x:v>当前项目正式家族（含医院与警局）</x:v>
      </x:c>
    </x:row>
    <x:row r="6">
      <x:c r="A6" s="11" t="str">
        <x:v>运营等级数量</x:v>
      </x:c>
      <x:c r="B6" s="12" t="e">
        <x:f>COUNTA(运营等级!A5:A200)</x:f>
        <x:v>#NAME?</x:v>
      </x:c>
      <x:c r="C6" s="13" t="n">
        <x:v>29</x:v>
      </x:c>
      <x:c r="D6" s="14" t="e">
        <x:f>IF(B6=C6,"通过","待检查")</x:f>
        <x:v>#NAME?</x:v>
      </x:c>
      <x:c r="E6" s="11" t="str">
        <x:v>含未开放占位等级</x:v>
      </x:c>
    </x:row>
    <x:row r="7">
      <x:c r="A7" s="11" t="str">
        <x:v>生产档位行数</x:v>
      </x:c>
      <x:c r="B7" s="12" t="e">
        <x:f>COUNTA(等级_生产!A5:A200)</x:f>
        <x:v>#NAME?</x:v>
      </x:c>
      <x:c r="C7" s="13" t="n">
        <x:v>24</x:v>
      </x:c>
      <x:c r="D7" s="14" t="e">
        <x:f>IF(B7=C7,"通过","待检查")</x:f>
        <x:v>#NAME?</x:v>
      </x:c>
      <x:c r="E7" s="11" t="str">
        <x:v>保持当前生产档位完整</x:v>
      </x:c>
    </x:row>
    <x:row r="8">
      <x:c r="A8" s="11" t="str">
        <x:v>范围效果行数</x:v>
      </x:c>
      <x:c r="B8" s="12" t="e">
        <x:f>COUNTA(模块_范围效果!A5:A200)</x:f>
        <x:v>#NAME?</x:v>
      </x:c>
      <x:c r="C8" s="13" t="n">
        <x:v>14</x:v>
      </x:c>
      <x:c r="D8" s="14" t="e">
        <x:f>IF(B8=C8,"通过","待检查")</x:f>
        <x:v>#NAME?</x:v>
      </x:c>
      <x:c r="E8" s="11" t="str">
        <x:v>树木、雕塑、医院六档医疗与警局六档治安</x:v>
      </x:c>
    </x:row>
    <x:row r="9">
      <x:c r="A9" s="11" t="str">
        <x:v>仓库等级行数</x:v>
      </x:c>
      <x:c r="B9" s="12" t="e">
        <x:f>COUNTA(等级_仓库!A5:A200)</x:f>
        <x:v>#NAME?</x:v>
      </x:c>
      <x:c r="C9" s="13" t="n">
        <x:v>3</x:v>
      </x:c>
      <x:c r="D9" s="14" t="e">
        <x:f>IF(B9=C9,"通过","待检查")</x:f>
        <x:v>#NAME?</x:v>
      </x:c>
      <x:c r="E9" s="11" t="str">
        <x:v>LV1-LV3 均有仓库运营配置</x:v>
      </x:c>
    </x:row>
    <x:row r="10">
      <x:c r="A10" s="11" t="str">
        <x:v>运营经验等级行数</x:v>
      </x:c>
      <x:c r="B10" s="12" t="e">
        <x:f>COUNTA(等级_运营经验!A5:A200)</x:f>
        <x:v>#NAME?</x:v>
      </x:c>
      <x:c r="C10" s="13" t="n">
        <x:v>6</x:v>
      </x:c>
      <x:c r="D10" s="14" t="e">
        <x:f>IF(B10=C10,"通过","待检查")</x:f>
        <x:v>#NAME?</x:v>
      </x:c>
      <x:c r="E10" s="11" t="str">
        <x:v>医院与警局的 LV1-LV3 均有通用经验配置</x:v>
      </x:c>
    </x:row>
    <x:row r="11">
      <x:c r="A11" s="11" t="str">
        <x:v>Style 待回填数</x:v>
      </x:c>
      <x:c r="B11" s="12" t="e">
        <x:f>COUNTIF(视觉样式!F5:F200,"待回填")</x:f>
        <x:v>#NAME?</x:v>
      </x:c>
      <x:c r="C11" s="13" t="n">
        <x:v>0</x:v>
      </x:c>
      <x:c r="D11" s="14" t="e">
        <x:f>IF(B11=C11,"通过","待检查")</x:f>
        <x:v>#NAME?</x:v>
      </x:c>
      <x:c r="E11" s="11" t="str">
        <x:v>美术回填不阻止数值导入</x:v>
      </x:c>
    </x:row>
    <x:row r="12">
      <x:c r="A12" t="str">
        <x:v>SchemaVersion</x:v>
      </x:c>
      <x:c r="B12" t="e">
        <x:f>说明!B4</x:f>
        <x:v>#NAME?</x:v>
      </x:c>
      <x:c r="C12" t="n">
        <x:v>6</x:v>
      </x:c>
      <x:c r="D12" t="e">
        <x:f>IF(B12=C12,"通过","待检查")</x:f>
        <x:v>#NAME?</x:v>
      </x:c>
      <x:c r="E12" t="str">
        <x:v>通用运营经验与条件化医疗/治安范围效果</x:v>
      </x:c>
    </x:row>
  </x:sheetData>
  <x:mergeCells>
    <x:mergeCell ref="A2:E2"/>
    <x:mergeCell ref="A1:E1"/>
  </x:mergeCells>
  <x:conditionalFormatting sqref="D5:D11">
    <x:cfRule type="containsText" dxfId="0" priority="1" operator="between" text="通过">
      <x:formula>NOT(ISERROR(SEARCH("通过",D5)))</x:formula>
    </x:cfRule>
    <x:cfRule type="containsText" dxfId="1" priority="2" operator="between" text="待">
      <x:formula>NOT(ISERROR(SEARCH("待",D5)))</x:formula>
    </x:cfRule>
    <x:cfRule type="containsText" dxfId="2" priority="3" operator="between" text="错误">
      <x:formula>NOT(ISERROR(SEARCH("错误",D5)))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8b49ee27134a66"/>
  </x:tableParts>
</x:worksheet>
</file>

<file path=xl/worksheets/sheet2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10" hidden="0" customWidth="1"/>
    <x:col min="5" max="5" width="38" hidden="0" customWidth="1"/>
  </x:cols>
  <x:sheetData>
    <x:row r="1" ht="19.200000762939453" hidden="0" customHeight="1">
      <x:c r="A1" s="103" t="str">
        <x:v>逐回合施工产出</x:v>
      </x:c>
      <x:c r="B1" s="103"/>
      <x:c r="C1" s="103"/>
      <x:c r="D1" s="103"/>
      <x:c r="E1" s="103"/>
    </x:row>
    <x:row r="2" ht="15" hidden="0" customHeight="1">
      <x:c r="A2" s="106" t="str">
        <x:v>施工阶段成功结算后加入库存；与同回合施工消耗进行原子交换，库存无法容纳时该阶段不会推进。</x:v>
      </x:c>
      <x:c r="B2" s="106"/>
      <x:c r="C2" s="106"/>
      <x:c r="D2" s="106"/>
      <x:c r="E2" s="106"/>
    </x:row>
    <x:row r="3" ht="15" hidden="0" customHeight="1">
      <x:c r="A3"/>
      <x:c r="B3"/>
      <x:c r="C3"/>
      <x:c r="D3"/>
      <x:c r="E3"/>
    </x:row>
    <x:row r="4" ht="15" hidden="0" customHeight="1">
      <x:c r="A4" s="99" t="str">
        <x:v>FamilyId</x:v>
      </x:c>
      <x:c r="B4" s="99" t="str">
        <x:v>回合序号</x:v>
      </x:c>
      <x:c r="C4" s="99" t="str">
        <x:v>ItemId</x:v>
      </x:c>
      <x:c r="D4" s="99" t="str">
        <x:v>数量</x:v>
      </x:c>
      <x:c r="E4" s="99" t="str">
        <x:v>说明</x:v>
      </x:c>
    </x:row>
    <x:row r="5" ht="15" hidden="0" customHeight="1">
      <x:c r="A5" s="100" t="str">
        <x:v>building.quarry</x:v>
      </x:c>
      <x:c r="B5" s="100" t="n">
        <x:v>1</x:v>
      </x:c>
      <x:c r="C5" s="100" t="str">
        <x:v>泥土</x:v>
      </x:c>
      <x:c r="D5" s="100" t="n">
        <x:v>10</x:v>
      </x:c>
      <x:c r="E5" s="100" t="str">
        <x:v>第 1 施工阶段产出</x:v>
      </x:c>
    </x:row>
    <x:row r="6" ht="15" hidden="0" customHeight="1">
      <x:c r="A6" s="100" t="str">
        <x:v>building.quarry</x:v>
      </x:c>
      <x:c r="B6" s="100" t="n">
        <x:v>1</x:v>
      </x:c>
      <x:c r="C6" s="100" t="str">
        <x:v>石头</x:v>
      </x:c>
      <x:c r="D6" s="100" t="n">
        <x:v>20</x:v>
      </x:c>
      <x:c r="E6" s="100" t="str">
        <x:v>第 1 施工阶段产出</x:v>
      </x:c>
    </x:row>
    <x:row r="7" ht="15" hidden="0" customHeight="1">
      <x:c r="A7" s="100" t="str">
        <x:v>building.quarry</x:v>
      </x:c>
      <x:c r="B7" s="100" t="n">
        <x:v>3</x:v>
      </x:c>
      <x:c r="C7" s="100" t="str">
        <x:v>石头</x:v>
      </x:c>
      <x:c r="D7" s="100" t="n">
        <x:v>100</x:v>
      </x:c>
      <x:c r="E7" s="100" t="str">
        <x:v>第 3 施工阶段产出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9" hidden="0" customWidth="1"/>
    <x:col min="3" max="3" width="20" hidden="0" customWidth="1"/>
    <x:col min="4" max="4" width="14" hidden="0" customWidth="1"/>
    <x:col min="5" max="5" width="34" hidden="0" customWidth="1"/>
  </x:cols>
  <x:sheetData>
    <x:row r="1" ht="19.200000762939453" hidden="0" customHeight="1">
      <x:c r="A1" s="103" t="str">
        <x:v>等级配置：通用维护费</x:v>
      </x:c>
      <x:c r="B1" s="103"/>
      <x:c r="C1" s="103"/>
      <x:c r="D1" s="103"/>
      <x:c r="E1" s="103"/>
    </x:row>
    <x:row r="2" ht="15" hidden="0" customHeight="1">
      <x:c r="A2" s="106" t="str">
        <x:v>对应 BuildingMaintenanceLevelConfiguration / BM_维护费。模块必须排在生产模块之前；支付失败会中止后续生产。</x:v>
      </x:c>
      <x:c r="B2" s="106"/>
      <x:c r="C2" s="106"/>
      <x:c r="D2" s="106"/>
      <x:c r="E2" s="106"/>
    </x:row>
    <x:row r="3" ht="15" hidden="0" customHeight="1">
      <x:c r="A3"/>
      <x:c r="B3"/>
      <x:c r="C3"/>
      <x:c r="D3"/>
      <x:c r="E3"/>
    </x:row>
    <x:row r="4" ht="15" hidden="0" customHeight="1">
      <x:c r="A4" s="99" t="str">
        <x:v>FamilyId</x:v>
      </x:c>
      <x:c r="B4" s="99" t="str">
        <x:v>Level</x:v>
      </x:c>
      <x:c r="C4" s="99" t="str">
        <x:v>MaintenanceItemId</x:v>
      </x:c>
      <x:c r="D4" s="99" t="str">
        <x:v>维护费/回合</x:v>
      </x:c>
      <x:c r="E4" s="99" t="str">
        <x:v>说明</x:v>
      </x:c>
    </x:row>
    <x:row r="5" ht="15" hidden="0" customHeight="1">
      <x:c r="A5" s="100" t="str">
        <x:v>building.quarry</x:v>
      </x:c>
      <x:c r="B5" s="100" t="n">
        <x:v>1</x:v>
      </x:c>
      <x:c r="C5" s="100" t="str">
        <x:v>金币</x:v>
      </x:c>
      <x:c r="D5" s="100" t="n">
        <x:v>3</x:v>
      </x:c>
      <x:c r="E5" s="100" t="str">
        <x:v>支付失败时本回合不生产</x:v>
      </x:c>
    </x:row>
    <x:row r="6" ht="15" hidden="0" customHeight="1">
      <x:c r="A6" s="100" t="str">
        <x:v>building.quarry</x:v>
      </x:c>
      <x:c r="B6" s="100" t="n">
        <x:v>2</x:v>
      </x:c>
      <x:c r="C6" s="100" t="str">
        <x:v>金币</x:v>
      </x:c>
      <x:c r="D6" s="100" t="n">
        <x:v>5</x:v>
      </x:c>
      <x:c r="E6" s="100" t="str">
        <x:v>支付失败时本回合不生产</x:v>
      </x:c>
    </x:row>
    <x:row r="7" ht="15" hidden="0" customHeight="1">
      <x:c r="A7" s="100" t="str">
        <x:v>building.quarry</x:v>
      </x:c>
      <x:c r="B7" s="100" t="n">
        <x:v>3</x:v>
      </x:c>
      <x:c r="C7" s="100" t="str">
        <x:v>金币</x:v>
      </x:c>
      <x:c r="D7" s="100" t="n">
        <x:v>10</x:v>
      </x:c>
      <x:c r="E7" s="100" t="str">
        <x:v>支付失败时本回合不生产</x:v>
      </x:c>
    </x:row>
    <x:row r="8">
      <x:c r="A8" t="str">
        <x:v>building.hospital</x:v>
      </x:c>
      <x:c r="B8" t="n">
        <x:v>1</x:v>
      </x:c>
      <x:c r="C8" t="str">
        <x:v>金币</x:v>
      </x:c>
      <x:c r="D8" t="n">
        <x:v>1</x:v>
      </x:c>
      <x:c r="E8" t="str">
        <x:v>维护失败会阻止本回合运营经验增长</x:v>
      </x:c>
    </x:row>
    <x:row r="9">
      <x:c r="A9" t="str">
        <x:v>building.hospital</x:v>
      </x:c>
      <x:c r="B9" t="n">
        <x:v>2</x:v>
      </x:c>
      <x:c r="C9" t="str">
        <x:v>金币</x:v>
      </x:c>
      <x:c r="D9" t="n">
        <x:v>3</x:v>
      </x:c>
      <x:c r="E9" t="str">
        <x:v>维护失败会阻止本回合运营经验增长</x:v>
      </x:c>
    </x:row>
    <x:row r="10">
      <x:c r="A10" t="str">
        <x:v>building.hospital</x:v>
      </x:c>
      <x:c r="B10" t="n">
        <x:v>3</x:v>
      </x:c>
      <x:c r="C10" t="str">
        <x:v>金币</x:v>
      </x:c>
      <x:c r="D10" t="n">
        <x:v>6</x:v>
      </x:c>
      <x:c r="E10" t="str">
        <x:v>最高等级，仍需支付固定维护费</x:v>
      </x:c>
    </x:row>
    <x:row r="11">
      <x:c r="A11" s="152" t="str">
        <x:v>building.police_station</x:v>
      </x:c>
      <x:c r="B11" s="152" t="n">
        <x:v>1</x:v>
      </x:c>
      <x:c r="C11" s="152" t="str">
        <x:v>金币</x:v>
      </x:c>
      <x:c r="D11" s="152" t="n">
        <x:v>1</x:v>
      </x:c>
      <x:c r="E11" s="152" t="str">
        <x:v>维护失败会阻止本回合运营经验增长</x:v>
      </x:c>
    </x:row>
    <x:row r="12">
      <x:c r="A12" s="152" t="str">
        <x:v>building.police_station</x:v>
      </x:c>
      <x:c r="B12" s="152" t="n">
        <x:v>2</x:v>
      </x:c>
      <x:c r="C12" s="152" t="str">
        <x:v>金币</x:v>
      </x:c>
      <x:c r="D12" s="152" t="n">
        <x:v>3</x:v>
      </x:c>
      <x:c r="E12" s="152" t="str">
        <x:v>维护失败会阻止本回合运营经验增长</x:v>
      </x:c>
    </x:row>
    <x:row r="13">
      <x:c r="A13" s="152" t="str">
        <x:v>building.police_station</x:v>
      </x:c>
      <x:c r="B13" s="152" t="n">
        <x:v>3</x:v>
      </x:c>
      <x:c r="C13" s="152" t="str">
        <x:v>金币</x:v>
      </x:c>
      <x:c r="D13" s="152" t="n">
        <x:v>6</x:v>
      </x:c>
      <x:c r="E13" s="152" t="str">
        <x:v>最高等级，仍需支付固定维护费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20" hidden="0" customWidth="1"/>
    <x:col min="3" max="3" width="32" hidden="0" customWidth="1"/>
    <x:col min="4" max="4" width="24" hidden="0" customWidth="1"/>
    <x:col min="5" max="5" width="16" hidden="0" customWidth="1"/>
    <x:col min="6" max="6" width="14" hidden="0" customWidth="1"/>
    <x:col min="7" max="7" width="46" hidden="0" customWidth="1"/>
  </x:cols>
  <x:sheetData>
    <x:row r="1" ht="19.200000762939453" hidden="0" customHeight="1">
      <x:c r="A1" s="103" t="str">
        <x:v>科技：全局建筑生产 Buff</x:v>
      </x:c>
      <x:c r="B1" s="103"/>
      <x:c r="C1" s="103"/>
      <x:c r="D1" s="103"/>
      <x:c r="E1" s="103"/>
      <x:c r="F1" s="103"/>
      <x:c r="G1" s="103"/>
    </x:row>
    <x:row r="2" ht="15" hidden="0" customHeight="1">
      <x:c r="A2" s="106" t="str">
        <x:v>规则资产维护 Buff 图标与类型结构；本表是数值真源。科技 UI 从中央注册表读取生产者注入的 Buff 图标与描述。</x:v>
      </x:c>
      <x:c r="B2" s="106"/>
      <x:c r="C2" s="106"/>
      <x:c r="D2" s="106"/>
      <x:c r="E2" s="106"/>
      <x:c r="F2" s="106"/>
      <x:c r="G2" s="106"/>
    </x:row>
    <x:row r="3" ht="15" hidden="0" customHeight="1">
      <x:c r="A3"/>
      <x:c r="B3"/>
      <x:c r="C3"/>
      <x:c r="D3"/>
      <x:c r="E3"/>
      <x:c r="F3"/>
      <x:c r="G3"/>
    </x:row>
    <x:row r="4" ht="15" hidden="0" customHeight="1">
      <x:c r="A4" s="99" t="str">
        <x:v>BuffId</x:v>
      </x:c>
      <x:c r="B4" s="99" t="str">
        <x:v>显示名</x:v>
      </x:c>
      <x:c r="C4" s="99" t="str">
        <x:v>ConditionId</x:v>
      </x:c>
      <x:c r="D4" s="99" t="str">
        <x:v>FamilyId</x:v>
      </x:c>
      <x:c r="E4" s="99" t="str">
        <x:v>OutputItemId</x:v>
      </x:c>
      <x:c r="F4" s="99" t="str">
        <x:v>固定加成/次</x:v>
      </x:c>
      <x:c r="G4" s="99" t="str">
        <x:v>说明</x:v>
      </x:c>
    </x:row>
    <x:row r="5" ht="15" hidden="0" customHeight="1">
      <x:c r="A5" s="100" t="str">
        <x:v>buff.quarry.masonry</x:v>
      </x:c>
      <x:c r="B5" s="100" t="str">
        <x:v>石工术采石加成</x:v>
      </x:c>
      <x:c r="C5" s="100" t="str">
        <x:v>technology.TN_4_3_石工术</x:v>
      </x:c>
      <x:c r="D5" s="100" t="str">
        <x:v>building.quarry</x:v>
      </x:c>
      <x:c r="E5" s="100" t="str">
        <x:v>石头</x:v>
      </x:c>
      <x:c r="F5" s="100" t="n">
        <x:v>1</x:v>
      </x:c>
      <x:c r="G5" s="100" t="str">
        <x:v>采石场产生石头且基础产量大于 0 时额外 +1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" hidden="0" customWidth="1"/>
    <x:col min="3" max="3" width="15" hidden="0" customWidth="1"/>
    <x:col min="4" max="4" width="15" hidden="0" customWidth="1"/>
    <x:col min="5" max="5" width="15" hidden="0" customWidth="1"/>
    <x:col min="6" max="6" width="52" hidden="0" customWidth="1"/>
    <x:col min="7" max="7" width="18" hidden="0" customWidth="1"/>
  </x:cols>
  <x:sheetData>
    <x:row r="1" ht="26" customHeight="1">
      <x:c r="A1" s="115" t="str">
        <x:v>等级配置：通用运营经验</x:v>
      </x:c>
      <x:c r="B1" s="115" t="str"/>
      <x:c r="C1" s="115" t="str"/>
      <x:c r="D1" s="115" t="str"/>
      <x:c r="E1" s="115" t="str"/>
      <x:c r="F1" s="115" t="str"/>
      <x:c r="G1" s="115" t="str"/>
    </x:row>
    <x:row r="2" ht="34" customHeight="1">
      <x:c r="A2" s="118" t="str">
        <x:v>对应 BuildingOperationalExperienceLevelConfiguration / BM_运营经验。模块必须排在维护费之后，只有工人达标且本回合维护支付成功才会获得经验。</x:v>
      </x:c>
      <x:c r="B2" s="118" t="str"/>
      <x:c r="C2" s="118" t="str"/>
      <x:c r="D2" s="118" t="str"/>
      <x:c r="E2" s="118" t="str"/>
      <x:c r="F2" s="118" t="str"/>
      <x:c r="G2" s="118" t="str"/>
    </x:row>
    <x:row r="4" ht="28" customHeight="1">
      <x:c r="A4" s="122" t="str">
        <x:v>FamilyId</x:v>
      </x:c>
      <x:c r="B4" s="122" t="str">
        <x:v>Level</x:v>
      </x:c>
      <x:c r="C4" s="122" t="str">
        <x:v>经验所需工人</x:v>
      </x:c>
      <x:c r="D4" s="122" t="str">
        <x:v>经验/回合</x:v>
      </x:c>
      <x:c r="E4" s="122" t="str">
        <x:v>下级经验要求</x:v>
      </x:c>
      <x:c r="F4" s="122" t="str">
        <x:v>说明</x:v>
      </x:c>
      <x:c r="G4" s="122" t="str">
        <x:v>校验</x:v>
      </x:c>
    </x:row>
    <x:row r="5">
      <x:c r="A5" s="127" t="str">
        <x:v>building.hospital</x:v>
      </x:c>
      <x:c r="B5" s="130" t="n">
        <x:v>1</x:v>
      </x:c>
      <x:c r="C5" s="130" t="n">
        <x:v>3</x:v>
      </x:c>
      <x:c r="D5" s="130" t="n">
        <x:v>1</x:v>
      </x:c>
      <x:c r="E5" s="130" t="n">
        <x:v>30</x:v>
      </x:c>
      <x:c r="F5" s="127" t="str">
        <x:v>累计经验达到 30 后满足经验升级条件</x:v>
      </x:c>
      <x:c r="G5" s="128" t="str">
        <x:f>IF(OR(C5&lt;0,D5&lt;0,E5&lt;0),"错误：不能为负","通过")</x:f>
        <x:v>通过</x:v>
      </x:c>
    </x:row>
    <x:row r="6">
      <x:c r="A6" s="127" t="str">
        <x:v>building.hospital</x:v>
      </x:c>
      <x:c r="B6" s="130" t="n">
        <x:v>2</x:v>
      </x:c>
      <x:c r="C6" s="130" t="n">
        <x:v>8</x:v>
      </x:c>
      <x:c r="D6" s="130" t="n">
        <x:v>1</x:v>
      </x:c>
      <x:c r="E6" s="130" t="n">
        <x:v>100</x:v>
      </x:c>
      <x:c r="F6" s="127" t="str">
        <x:v>经验跨等级保留；累计达到 100 后满足经验升级条件</x:v>
      </x:c>
      <x:c r="G6" s="128" t="str">
        <x:f>IF(OR(C6&lt;0,D6&lt;0,E6&lt;0),"错误：不能为负","通过")</x:f>
        <x:v>通过</x:v>
      </x:c>
    </x:row>
    <x:row r="7">
      <x:c r="A7" s="127" t="str">
        <x:v>building.hospital</x:v>
      </x:c>
      <x:c r="B7" s="130" t="n">
        <x:v>3</x:v>
      </x:c>
      <x:c r="C7" s="130" t="n">
        <x:v>0</x:v>
      </x:c>
      <x:c r="D7" s="130" t="n">
        <x:v>0</x:v>
      </x:c>
      <x:c r="E7" s="130" t="n">
        <x:v>0</x:v>
      </x:c>
      <x:c r="F7" s="127" t="str">
        <x:v>最高等级，不再获得运营经验</x:v>
      </x:c>
      <x:c r="G7" s="128" t="str">
        <x:f>IF(OR(C7&lt;0,D7&lt;0,E7&lt;0),"错误：不能为负","通过")</x:f>
        <x:v>通过</x:v>
      </x:c>
    </x:row>
    <x:row r="8">
      <x:c r="A8" s="152" t="str">
        <x:v>building.police_station</x:v>
      </x:c>
      <x:c r="B8" s="152" t="n">
        <x:v>1</x:v>
      </x:c>
      <x:c r="C8" s="152" t="n">
        <x:v>3</x:v>
      </x:c>
      <x:c r="D8" s="152" t="n">
        <x:v>1</x:v>
      </x:c>
      <x:c r="E8" s="152" t="n">
        <x:v>30</x:v>
      </x:c>
      <x:c r="F8" s="152" t="str">
        <x:v>累计经验达到 30 后满足经验升级条件</x:v>
      </x:c>
      <x:c r="G8" s="158" t="str">
        <x:f>IF(OR(C8&lt;0,D8&lt;0,E8&lt;0),"错误：不能为负","通过")</x:f>
        <x:v>通过</x:v>
      </x:c>
    </x:row>
    <x:row r="9">
      <x:c r="A9" s="152" t="str">
        <x:v>building.police_station</x:v>
      </x:c>
      <x:c r="B9" s="152" t="n">
        <x:v>2</x:v>
      </x:c>
      <x:c r="C9" s="152" t="n">
        <x:v>8</x:v>
      </x:c>
      <x:c r="D9" s="152" t="n">
        <x:v>1</x:v>
      </x:c>
      <x:c r="E9" s="152" t="n">
        <x:v>100</x:v>
      </x:c>
      <x:c r="F9" s="152" t="str">
        <x:v>经验跨等级保留；累计达到 100 后满足经验升级条件</x:v>
      </x:c>
      <x:c r="G9" s="158" t="str">
        <x:f>IF(OR(C9&lt;0,D9&lt;0,E9&lt;0),"错误：不能为负","通过")</x:f>
        <x:v>通过</x:v>
      </x:c>
    </x:row>
    <x:row r="10">
      <x:c r="A10" s="152" t="str">
        <x:v>building.police_station</x:v>
      </x:c>
      <x:c r="B10" s="152" t="n">
        <x:v>3</x:v>
      </x:c>
      <x:c r="C10" s="152" t="n">
        <x:v>0</x:v>
      </x:c>
      <x:c r="D10" s="152" t="n">
        <x:v>0</x:v>
      </x:c>
      <x:c r="E10" s="152" t="n">
        <x:v>0</x:v>
      </x:c>
      <x:c r="F10" s="152" t="str">
        <x:v>最高等级，不再获得运营经验</x:v>
      </x:c>
      <x:c r="G10" s="158" t="str">
        <x:f>IF(OR(C10&lt;0,D10&lt;0,E10&lt;0),"错误：不能为负","通过")</x:f>
        <x:v>通过</x:v>
      </x:c>
    </x:row>
  </x:sheetData>
  <x:mergeCells>
    <x:mergeCell ref="A1:G1"/>
    <x:mergeCell ref="A2:G2"/>
  </x:mergeCells>
  <x:pageMargins left="0.7" right="0.7" top="0.75" bottom="0.75" header="0.3" footer="0.3"/>
</x:worksheet>
</file>